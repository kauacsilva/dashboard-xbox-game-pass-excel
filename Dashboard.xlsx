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b0d911d22894269/Área de Trabalho/DIO -  Satander open academy/Projetos/"/>
    </mc:Choice>
  </mc:AlternateContent>
  <xr:revisionPtr revIDLastSave="133" documentId="8_{AACA9A54-E683-479F-B960-34689CEA4E6E}" xr6:coauthVersionLast="47" xr6:coauthVersionMax="47" xr10:uidLastSave="{BD941E8E-817B-4998-A18C-BCCB07CD2CCC}"/>
  <bookViews>
    <workbookView xWindow="-120" yWindow="-120" windowWidth="20730" windowHeight="1104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  <definedName name="SegmentaçãodeDados_Subscription_Type1">#N/A</definedName>
  </definedNames>
  <calcPr calcId="191029" iterateDelta="1E-4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<sst xmlns="http://schemas.openxmlformats.org/spreadsheetml/2006/main" count="2031" uniqueCount="325">
  <si>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</si>
  <si>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</si>
  <si>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</si>
  <si>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</si>
  <si>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</si>
  <si>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</si>
  <si>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</si>
  <si>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</si>
  <si>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</si>
  <si>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</si>
  <si>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</si>
  <si>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</si>
  <si>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</si>
  <si>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</si>
  <si>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</si>
  <si>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</si>
  <si>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</si>
  <si>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</si>
  <si>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</si>
  <si>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</si>
  <si>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</si>
  <si>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</si>
  <si>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</si>
  <si>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</si>
  <si>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</si>
  <si>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</si>
  <si>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</si>
  <si>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</si>
  <si>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</si>
  <si>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</si>
  <si>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</si>
  <si>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</si>
  <si>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</si>
  <si>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</si>
  <si>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</si>
  <si>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</si>
  <si>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</si>
  <si>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</si>
  <si>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</si>
  <si>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</si>
  <si>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</si>
  <si>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</si>
  <si>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</si>
  <si>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</si>
  <si>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</si>
  <si>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</si>
  <si>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</si>
  <si>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</si>
  <si>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</si>
  <si>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</si>
  <si>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</si>
  <si>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</si>
  <si>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</si>
  <si>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</si>
  <si>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</si>
  <si>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</si>
  <si>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</si>
  <si>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</si>
  <si>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</si>
  <si>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</si>
  <si>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</si>
  <si>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</si>
  <si>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</si>
  <si>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</si>
  <si>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</si>
  <si>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</si>
  <si>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</si>
  <si>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</si>
  <si>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</si>
  <si>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</si>
  <si>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</si>
  <si>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</si>
  <si>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</si>
  <si>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</si>
  <si>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</si>
  <si>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</si>
  <si>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</si>
  <si>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</si>
  <si>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</si>
  <si>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</si>
  <si>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</si>
  <si>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</si>
  <si>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</si>
  <si>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</si>
  <si>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</si>
  <si>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</si>
  <si>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</si>
  <si>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</si>
  <si>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</si>
  <si>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</si>
  <si>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</si>
  <si>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</si>
  <si>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</si>
  <si>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</si>
  <si>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</si>
  <si>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</si>
  <si>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</si>
  <si>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</si>
  <si>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</si>
  <si>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</si>
  <si>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</si>
  <si>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</si>
  <si>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</si>
  <si>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</si>
  <si>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</si>
  <si>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</si>
  <si>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</si>
  <si>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</si>
  <si>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</si>
  <si>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</si>
  <si>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</si>
  <si>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</si>
  <si>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</si>
  <si>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</si>
  <si>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</si>
  <si>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</si>
  <si>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</si>
  <si>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</si>
  <si>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</si>
  <si>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</si>
  <si>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</si>
  <si>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</si>
  <si>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</si>
  <si>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</si>
  <si>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</si>
  <si>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</si>
  <si>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</si>
  <si>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</si>
  <si>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</si>
  <si>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</si>
  <si>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</si>
  <si>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</si>
  <si>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</si>
  <si>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</si>
  <si>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</si>
  <si>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</si>
  <si>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</si>
  <si>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</si>
  <si>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</si>
  <si>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</si>
  <si>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</si>
  <si>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</si>
  <si>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</si>
  <si>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</si>
  <si>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</si>
  <si>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</si>
  <si>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</si>
  <si>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</si>
  <si>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</si>
  <si>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</si>
  <si>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</si>
  <si>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</si>
  <si>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</si>
  <si>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</si>
  <si>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</si>
  <si>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</si>
  <si>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</si>
  <si>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</si>
  <si>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</si>
  <si>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</si>
  <si>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</si>
  <si>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</si>
  <si>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</si>
  <si>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</si>
  <si>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</si>
  <si>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</si>
  <si>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</si>
  <si>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</si>
  <si>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</si>
  <si>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</si>
  <si>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</si>
  <si>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</si>
  <si>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</si>
  <si>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</si>
  <si>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</si>
  <si>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</si>
  <si>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</si>
  <si>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</si>
  <si>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</si>
  <si>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</si>
  <si>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</si>
  <si>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</si>
  <si>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</si>
  <si>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</si>
  <si>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</si>
  <si>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</si>
  <si>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</si>
  <si>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</si>
  <si>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</si>
  <si>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</si>
  <si>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</si>
  <si>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</si>
  <si>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</si>
  <si>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</si>
  <si>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</si>
  <si>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</si>
  <si>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</si>
  <si>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</si>
  <si>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</si>
  <si>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</si>
  <si>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</si>
  <si>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</si>
  <si>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</si>
  <si>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</si>
  <si>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</si>
  <si>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</si>
  <si>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</si>
  <si>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</si>
  <si>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</si>
  <si>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</si>
  <si>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</si>
  <si>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</si>
  <si>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</si>
  <si>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</si>
  <si>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</si>
  <si>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</si>
  <si>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</si>
  <si>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</si>
  <si>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</si>
  <si>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</si>
  <si>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</si>
  <si>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</si>
  <si>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</si>
  <si>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</si>
  <si>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</si>
  <si>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</si>
  <si>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</si>
  <si>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</si>
  <si>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</si>
  <si>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</si>
  <si>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</si>
  <si>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</si>
  <si>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</si>
  <si>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</si>
  <si>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</si>
  <si>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</si>
  <si>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</si>
  <si>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</si>
  <si>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</si>
  <si>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</si>
  <si>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</si>
  <si>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</si>
  <si>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</si>
  <si>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</si>
  <si>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</si>
  <si>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</si>
  <si>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</si>
  <si>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</si>
  <si>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</si>
  <si>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</si>
  <si>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</si>
  <si>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</si>
  <si>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</si>
  <si>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</si>
  <si>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</si>
  <si>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</si>
  <si>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</si>
  <si>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</si>
  <si>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</si>
  <si>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</si>
  <si>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</si>
  <si>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</si>
  <si>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</si>
  <si>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</si>
  <si>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</si>
  <si>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</si>
  <si>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</si>
  <si>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</si>
  <si>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</si>
  <si>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</si>
  <si>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</si>
  <si>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</si>
  <si>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</si>
  <si>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</si>
  <si>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</si>
  <si>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</si>
  <si>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</si>
  <si>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</si>
  <si>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</si>
  <si>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</si>
  <si>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</si>
  <si>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</si>
  <si>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</si>
  <si>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</si>
  <si>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</si>
  <si>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</si>
  <si>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</si>
  <si>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</si>
  <si>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</si>
  <si>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</si>
  <si>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</si>
  <si>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</si>
  <si>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</si>
  <si>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</si>
  <si>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</si>
  <si>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</si>
  <si>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</si>
  <si>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</si>
  <si>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</si>
  <si>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</si>
  <si>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</si>
  <si>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</si>
  <si>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</si>
  <si>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</si>
  <si>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</si>
  <si>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</si>
  <si>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</si>
  <si>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</si>
  <si>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</si>
  <si>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</si>
  <si>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</si>
  <si>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</si>
  <si>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</si>
  <si>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</si>
  <si>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</si>
  <si>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</si>
  <si>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</si>
  <si>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</si>
  <si>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</si>
  <si>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</si>
  <si>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</si>
  <si>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</si>
  <si>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</si>
  <si>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</si>
  <si>
    <t>Pergunta Negócio 5 - Qual o Faturamento Total (Total Value) de cada Plano de assinatura (Core, Standard e Ultimate)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</si>
</sst>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  <xf numFmtId="0" fontId="0" fillId="0" borderId="0" xfId="0" applyNumberFormat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microsoft.com/office/2017/10/relationships/person" Target="persons/person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[Dashboard.xlsx]C̳álculos!tbl_annual_total</c:name>
    <c:fmtId val="4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9311839356062812E-2"/>
          <c:y val="6.2232327489048091E-2"/>
          <c:w val="0.92434659902303573"/>
          <c:h val="0.8584493860070366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40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[Dashboard.xlsx]C̳álculos!Tabela dinâmica1</c:name>
    <c:fmtId val="6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C̳álculos!$C$43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C̳álculos!$B$44:$B$47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C̳álculos!$C$44:$C$47</c:f>
              <c:numCache>
                <c:formatCode>_("R$"* #,##0.00_);_("R$"* \(#,##0.00\);_("R$"* "-"??_);_(@_)</c:formatCode>
                <c:ptCount val="3"/>
                <c:pt idx="0">
                  <c:v>120</c:v>
                </c:pt>
                <c:pt idx="1">
                  <c:v>448</c:v>
                </c:pt>
                <c:pt idx="2">
                  <c:v>1186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E2-41C3-B28C-AD1E1F34F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46929535"/>
        <c:axId val="330702063"/>
        <c:axId val="0"/>
      </c:bar3DChart>
      <c:catAx>
        <c:axId val="3469295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0702063"/>
        <c:crosses val="autoZero"/>
        <c:auto val="1"/>
        <c:lblAlgn val="ctr"/>
        <c:lblOffset val="100"/>
        <c:noMultiLvlLbl val="0"/>
      </c:catAx>
      <c:valAx>
        <c:axId val="33070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46929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20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20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17</xdr:col>
      <xdr:colOff>219417</xdr:colOff>
      <xdr:row>17</xdr:row>
      <xdr:rowOff>156568</xdr:rowOff>
    </xdr:from>
    <xdr:to>
      <xdr:col>24</xdr:col>
      <xdr:colOff>618045</xdr:colOff>
      <xdr:row>26</xdr:row>
      <xdr:rowOff>98398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11295631" y="3258997"/>
          <a:ext cx="4675353" cy="1656330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17</xdr:col>
      <xdr:colOff>219417</xdr:colOff>
      <xdr:row>6</xdr:row>
      <xdr:rowOff>46543</xdr:rowOff>
    </xdr:from>
    <xdr:to>
      <xdr:col>25</xdr:col>
      <xdr:colOff>1</xdr:colOff>
      <xdr:row>15</xdr:row>
      <xdr:rowOff>34637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11295631" y="1175936"/>
          <a:ext cx="4679156" cy="1580130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R$ 940,00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0</xdr:colOff>
      <xdr:row>7</xdr:row>
      <xdr:rowOff>76200</xdr:rowOff>
    </xdr:from>
    <xdr:to>
      <xdr:col>16</xdr:col>
      <xdr:colOff>0</xdr:colOff>
      <xdr:row>25</xdr:row>
      <xdr:rowOff>21448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4D1F0864-A4F4-37F3-8029-1F495B27B0B8}"/>
            </a:ext>
          </a:extLst>
        </xdr:cNvPr>
        <xdr:cNvGrpSpPr/>
      </xdr:nvGrpSpPr>
      <xdr:grpSpPr>
        <a:xfrm>
          <a:off x="2068286" y="1328057"/>
          <a:ext cx="8395607" cy="3319820"/>
          <a:chOff x="2309814" y="1190625"/>
          <a:chExt cx="10275092" cy="2935036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BF010324-0D13-48F3-9FA9-6FF56F20097A}"/>
              </a:ext>
            </a:extLst>
          </xdr:cNvPr>
          <xdr:cNvSpPr/>
        </xdr:nvSpPr>
        <xdr:spPr>
          <a:xfrm>
            <a:off x="2309814" y="1190625"/>
            <a:ext cx="10275092" cy="2917032"/>
          </a:xfrm>
          <a:prstGeom prst="roundRect">
            <a:avLst>
              <a:gd name="adj" fmla="val 3606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graphicFrame macro="">
        <xdr:nvGraphicFramePr>
          <xdr:cNvPr id="6" name="Gráfico 5">
            <a:extLst>
              <a:ext uri="{FF2B5EF4-FFF2-40B4-BE49-F238E27FC236}">
                <a16:creationId xmlns:a16="http://schemas.microsoft.com/office/drawing/2014/main" id="{948B9E40-7373-426B-8EB6-A1EB1F9493BA}"/>
              </a:ext>
            </a:extLst>
          </xdr:cNvPr>
          <xdr:cNvGraphicFramePr>
            <a:graphicFrameLocks/>
          </xdr:cNvGraphicFramePr>
        </xdr:nvGraphicFramePr>
        <xdr:xfrm>
          <a:off x="2309814" y="1418179"/>
          <a:ext cx="10270039" cy="270748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  <xdr:twoCellAnchor>
    <xdr:from>
      <xdr:col>2</xdr:col>
      <xdr:colOff>0</xdr:colOff>
      <xdr:row>6</xdr:row>
      <xdr:rowOff>16493</xdr:rowOff>
    </xdr:from>
    <xdr:to>
      <xdr:col>15</xdr:col>
      <xdr:colOff>601034</xdr:colOff>
      <xdr:row>9</xdr:row>
      <xdr:rowOff>6287</xdr:rowOff>
    </xdr:to>
    <xdr:sp macro="" textlink="">
      <xdr:nvSpPr>
        <xdr:cNvPr id="29" name="Retângulo: Cantos Superiores Arredondados 28">
          <a:extLst>
            <a:ext uri="{FF2B5EF4-FFF2-40B4-BE49-F238E27FC236}">
              <a16:creationId xmlns:a16="http://schemas.microsoft.com/office/drawing/2014/main" id="{04E90C24-1EAF-4464-9E27-CA84E66E9AD4}"/>
            </a:ext>
          </a:extLst>
        </xdr:cNvPr>
        <xdr:cNvSpPr/>
      </xdr:nvSpPr>
      <xdr:spPr>
        <a:xfrm>
          <a:off x="2061882" y="1137081"/>
          <a:ext cx="8299476" cy="449235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kern="1200">
              <a:latin typeface="Segoe UI" panose="020B0502040204020203" pitchFamily="34" charset="0"/>
              <a:cs typeface="Segoe UI" panose="020B0502040204020203" pitchFamily="34" charset="0"/>
            </a:rPr>
            <a:t>TOTAL SUBSCRIPTIONS XBOX</a:t>
          </a:r>
          <a:r>
            <a:rPr lang="pt-BR" sz="1100" b="1" kern="1200" baseline="0">
              <a:latin typeface="Segoe UI" panose="020B0502040204020203" pitchFamily="34" charset="0"/>
              <a:cs typeface="Segoe UI" panose="020B0502040204020203" pitchFamily="34" charset="0"/>
            </a:rPr>
            <a:t> GAME PASS</a:t>
          </a:r>
          <a:endParaRPr lang="pt-BR" sz="1100" b="1" kern="12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b="1" kern="1200"/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14/10/2026 18:00:00</a:t>
          </a:r>
        </a:p>
      </xdr:txBody>
    </xdr:sp>
    <xdr:clientData/>
  </xdr:twoCellAnchor>
  <xdr:twoCellAnchor>
    <xdr:from>
      <xdr:col>0</xdr:col>
      <xdr:colOff>285825</xdr:colOff>
      <xdr:row>1</xdr:row>
      <xdr:rowOff>0</xdr:rowOff>
    </xdr:from>
    <xdr:to>
      <xdr:col>0</xdr:col>
      <xdr:colOff>1510830</xdr:colOff>
      <xdr:row>7</xdr:row>
      <xdr:rowOff>0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FF84D3A4-E07F-49EA-931E-BAD8AEC0ACC5}"/>
            </a:ext>
          </a:extLst>
        </xdr:cNvPr>
        <xdr:cNvSpPr/>
      </xdr:nvSpPr>
      <xdr:spPr>
        <a:xfrm>
          <a:off x="285825" y="190500"/>
          <a:ext cx="1225005" cy="1061357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0</xdr:col>
      <xdr:colOff>40822</xdr:colOff>
      <xdr:row>26</xdr:row>
      <xdr:rowOff>98398</xdr:rowOff>
    </xdr:from>
    <xdr:to>
      <xdr:col>1</xdr:col>
      <xdr:colOff>0</xdr:colOff>
      <xdr:row>33</xdr:row>
      <xdr:rowOff>48199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ubscription Type 1">
              <a:extLst>
                <a:ext uri="{FF2B5EF4-FFF2-40B4-BE49-F238E27FC236}">
                  <a16:creationId xmlns:a16="http://schemas.microsoft.com/office/drawing/2014/main" id="{C7D33F8A-846E-460E-8DF1-D677BCE400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822" y="4915327"/>
              <a:ext cx="1782535" cy="12833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0</xdr:colOff>
      <xdr:row>29</xdr:row>
      <xdr:rowOff>0</xdr:rowOff>
    </xdr:from>
    <xdr:to>
      <xdr:col>15</xdr:col>
      <xdr:colOff>601034</xdr:colOff>
      <xdr:row>44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2FACF98E-144B-4D10-8ED3-C76F57DE0A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4083</xdr:colOff>
      <xdr:row>26</xdr:row>
      <xdr:rowOff>123265</xdr:rowOff>
    </xdr:from>
    <xdr:to>
      <xdr:col>16</xdr:col>
      <xdr:colOff>0</xdr:colOff>
      <xdr:row>29</xdr:row>
      <xdr:rowOff>1000</xdr:rowOff>
    </xdr:to>
    <xdr:sp macro="" textlink="">
      <xdr:nvSpPr>
        <xdr:cNvPr id="10" name="Retângulo: Cantos Superiores Arredondados 9">
          <a:extLst>
            <a:ext uri="{FF2B5EF4-FFF2-40B4-BE49-F238E27FC236}">
              <a16:creationId xmlns:a16="http://schemas.microsoft.com/office/drawing/2014/main" id="{2A5E8FFB-4231-4D8E-A6F4-04E5909C8489}"/>
            </a:ext>
          </a:extLst>
        </xdr:cNvPr>
        <xdr:cNvSpPr/>
      </xdr:nvSpPr>
      <xdr:spPr>
        <a:xfrm>
          <a:off x="2065965" y="4930589"/>
          <a:ext cx="8299476" cy="449235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kern="1200">
              <a:latin typeface="Segoe UI" panose="020B0502040204020203" pitchFamily="34" charset="0"/>
              <a:cs typeface="Segoe UI" panose="020B0502040204020203" pitchFamily="34" charset="0"/>
            </a:rPr>
            <a:t>TOTAL REVENUE BY PLAN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 count="295"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</sharedItems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x v="0"/>
    <x v="0"/>
    <x v="0"/>
    <d v="2024-01-01T00:00:00"/>
    <x v="0"/>
    <n v="15"/>
    <x v="0"/>
    <s v="Yes"/>
    <x v="0"/>
    <s v="Yes"/>
    <n v="20"/>
    <n v="5"/>
    <n v="60"/>
  </r>
  <r>
    <x v="1"/>
    <x v="1"/>
    <x v="1"/>
    <d v="2024-01-15T00:00:00"/>
    <x v="1"/>
    <n v="5"/>
    <x v="1"/>
    <s v="No"/>
    <x v="1"/>
    <s v="No"/>
    <n v="0"/>
    <n v="0"/>
    <n v="5"/>
  </r>
  <r>
    <x v="2"/>
    <x v="2"/>
    <x v="2"/>
    <d v="2024-02-10T00:00:00"/>
    <x v="0"/>
    <n v="10"/>
    <x v="2"/>
    <s v="No"/>
    <x v="1"/>
    <s v="Yes"/>
    <n v="20"/>
    <n v="10"/>
    <n v="20"/>
  </r>
  <r>
    <x v="3"/>
    <x v="3"/>
    <x v="0"/>
    <d v="2024-02-20T00:00:00"/>
    <x v="1"/>
    <n v="15"/>
    <x v="0"/>
    <s v="Yes"/>
    <x v="0"/>
    <s v="Yes"/>
    <n v="20"/>
    <n v="3"/>
    <n v="62"/>
  </r>
  <r>
    <x v="4"/>
    <x v="4"/>
    <x v="1"/>
    <d v="2024-03-05T00:00:00"/>
    <x v="0"/>
    <n v="5"/>
    <x v="0"/>
    <s v="No"/>
    <x v="1"/>
    <s v="No"/>
    <n v="0"/>
    <n v="1"/>
    <n v="4"/>
  </r>
  <r>
    <x v="5"/>
    <x v="5"/>
    <x v="2"/>
    <d v="2024-03-02T00:00:00"/>
    <x v="1"/>
    <n v="10"/>
    <x v="0"/>
    <s v="No"/>
    <x v="1"/>
    <s v="Yes"/>
    <n v="20"/>
    <n v="2"/>
    <n v="28"/>
  </r>
  <r>
    <x v="6"/>
    <x v="6"/>
    <x v="0"/>
    <d v="2024-03-03T00:00:00"/>
    <x v="0"/>
    <n v="15"/>
    <x v="2"/>
    <s v="Yes"/>
    <x v="0"/>
    <s v="Yes"/>
    <n v="20"/>
    <n v="10"/>
    <n v="55"/>
  </r>
  <r>
    <x v="7"/>
    <x v="7"/>
    <x v="1"/>
    <d v="2024-03-04T00:00:00"/>
    <x v="0"/>
    <n v="5"/>
    <x v="1"/>
    <s v="No"/>
    <x v="1"/>
    <s v="No"/>
    <n v="0"/>
    <n v="0"/>
    <n v="5"/>
  </r>
  <r>
    <x v="8"/>
    <x v="8"/>
    <x v="0"/>
    <d v="2024-03-05T00:00:00"/>
    <x v="1"/>
    <n v="15"/>
    <x v="0"/>
    <s v="Yes"/>
    <x v="0"/>
    <s v="Yes"/>
    <n v="20"/>
    <n v="5"/>
    <n v="60"/>
  </r>
  <r>
    <x v="9"/>
    <x v="9"/>
    <x v="2"/>
    <d v="2024-03-06T00:00:00"/>
    <x v="0"/>
    <n v="10"/>
    <x v="2"/>
    <s v="No"/>
    <x v="1"/>
    <s v="Yes"/>
    <n v="20"/>
    <n v="15"/>
    <n v="15"/>
  </r>
  <r>
    <x v="10"/>
    <x v="10"/>
    <x v="1"/>
    <d v="2024-03-07T00:00:00"/>
    <x v="1"/>
    <n v="5"/>
    <x v="0"/>
    <s v="No"/>
    <x v="1"/>
    <s v="No"/>
    <n v="0"/>
    <n v="1"/>
    <n v="4"/>
  </r>
  <r>
    <x v="11"/>
    <x v="11"/>
    <x v="0"/>
    <d v="2024-03-08T00:00:00"/>
    <x v="0"/>
    <n v="15"/>
    <x v="1"/>
    <s v="Yes"/>
    <x v="0"/>
    <s v="Yes"/>
    <n v="20"/>
    <n v="20"/>
    <n v="45"/>
  </r>
  <r>
    <x v="12"/>
    <x v="12"/>
    <x v="2"/>
    <d v="2024-03-09T00:00:00"/>
    <x v="1"/>
    <n v="10"/>
    <x v="0"/>
    <s v="No"/>
    <x v="1"/>
    <s v="Yes"/>
    <n v="20"/>
    <n v="10"/>
    <n v="20"/>
  </r>
  <r>
    <x v="13"/>
    <x v="13"/>
    <x v="1"/>
    <d v="2024-03-10T00:00:00"/>
    <x v="0"/>
    <n v="5"/>
    <x v="2"/>
    <s v="No"/>
    <x v="1"/>
    <s v="No"/>
    <n v="0"/>
    <n v="0"/>
    <n v="5"/>
  </r>
  <r>
    <x v="14"/>
    <x v="14"/>
    <x v="0"/>
    <d v="2024-03-11T00:00:00"/>
    <x v="1"/>
    <n v="15"/>
    <x v="0"/>
    <s v="Yes"/>
    <x v="0"/>
    <s v="Yes"/>
    <n v="20"/>
    <n v="8"/>
    <n v="57"/>
  </r>
  <r>
    <x v="15"/>
    <x v="15"/>
    <x v="2"/>
    <d v="2024-03-12T00:00:00"/>
    <x v="0"/>
    <n v="10"/>
    <x v="1"/>
    <s v="No"/>
    <x v="1"/>
    <s v="Yes"/>
    <n v="20"/>
    <n v="12"/>
    <n v="18"/>
  </r>
  <r>
    <x v="16"/>
    <x v="16"/>
    <x v="1"/>
    <d v="2024-03-13T00:00:00"/>
    <x v="1"/>
    <n v="5"/>
    <x v="0"/>
    <s v="No"/>
    <x v="1"/>
    <s v="No"/>
    <n v="0"/>
    <n v="2"/>
    <n v="3"/>
  </r>
  <r>
    <x v="17"/>
    <x v="17"/>
    <x v="0"/>
    <d v="2024-03-14T00:00:00"/>
    <x v="0"/>
    <n v="15"/>
    <x v="2"/>
    <s v="Yes"/>
    <x v="0"/>
    <s v="Yes"/>
    <n v="20"/>
    <n v="7"/>
    <n v="58"/>
  </r>
  <r>
    <x v="18"/>
    <x v="18"/>
    <x v="2"/>
    <d v="2024-03-15T00:00:00"/>
    <x v="1"/>
    <n v="10"/>
    <x v="0"/>
    <s v="No"/>
    <x v="1"/>
    <s v="Yes"/>
    <n v="20"/>
    <n v="5"/>
    <n v="25"/>
  </r>
  <r>
    <x v="19"/>
    <x v="19"/>
    <x v="1"/>
    <d v="2024-03-16T00:00:00"/>
    <x v="0"/>
    <n v="5"/>
    <x v="1"/>
    <s v="No"/>
    <x v="1"/>
    <s v="No"/>
    <n v="0"/>
    <n v="0"/>
    <n v="5"/>
  </r>
  <r>
    <x v="20"/>
    <x v="20"/>
    <x v="0"/>
    <d v="2024-03-17T00:00:00"/>
    <x v="1"/>
    <n v="15"/>
    <x v="0"/>
    <s v="Yes"/>
    <x v="0"/>
    <s v="Yes"/>
    <n v="20"/>
    <n v="3"/>
    <n v="62"/>
  </r>
  <r>
    <x v="21"/>
    <x v="21"/>
    <x v="2"/>
    <d v="2024-03-18T00:00:00"/>
    <x v="0"/>
    <n v="10"/>
    <x v="2"/>
    <s v="No"/>
    <x v="1"/>
    <s v="Yes"/>
    <n v="20"/>
    <n v="15"/>
    <n v="15"/>
  </r>
  <r>
    <x v="22"/>
    <x v="22"/>
    <x v="1"/>
    <d v="2024-03-19T00:00:00"/>
    <x v="1"/>
    <n v="5"/>
    <x v="0"/>
    <s v="No"/>
    <x v="1"/>
    <s v="No"/>
    <n v="0"/>
    <n v="1"/>
    <n v="4"/>
  </r>
  <r>
    <x v="23"/>
    <x v="23"/>
    <x v="0"/>
    <d v="2024-03-20T00:00:00"/>
    <x v="0"/>
    <n v="15"/>
    <x v="1"/>
    <s v="Yes"/>
    <x v="0"/>
    <s v="Yes"/>
    <n v="20"/>
    <n v="20"/>
    <n v="45"/>
  </r>
  <r>
    <x v="24"/>
    <x v="24"/>
    <x v="2"/>
    <d v="2024-03-21T00:00:00"/>
    <x v="1"/>
    <n v="10"/>
    <x v="0"/>
    <s v="No"/>
    <x v="1"/>
    <s v="Yes"/>
    <n v="20"/>
    <n v="10"/>
    <n v="20"/>
  </r>
  <r>
    <x v="25"/>
    <x v="25"/>
    <x v="1"/>
    <d v="2024-03-22T00:00:00"/>
    <x v="0"/>
    <n v="5"/>
    <x v="2"/>
    <s v="No"/>
    <x v="1"/>
    <s v="No"/>
    <n v="0"/>
    <n v="0"/>
    <n v="5"/>
  </r>
  <r>
    <x v="26"/>
    <x v="26"/>
    <x v="0"/>
    <d v="2024-03-23T00:00:00"/>
    <x v="1"/>
    <n v="15"/>
    <x v="0"/>
    <s v="Yes"/>
    <x v="0"/>
    <s v="Yes"/>
    <n v="20"/>
    <n v="5"/>
    <n v="60"/>
  </r>
  <r>
    <x v="27"/>
    <x v="27"/>
    <x v="2"/>
    <d v="2024-03-24T00:00:00"/>
    <x v="0"/>
    <n v="10"/>
    <x v="1"/>
    <s v="No"/>
    <x v="1"/>
    <s v="Yes"/>
    <n v="20"/>
    <n v="15"/>
    <n v="15"/>
  </r>
  <r>
    <x v="28"/>
    <x v="28"/>
    <x v="1"/>
    <d v="2024-03-25T00:00:00"/>
    <x v="1"/>
    <n v="5"/>
    <x v="0"/>
    <s v="No"/>
    <x v="1"/>
    <s v="No"/>
    <n v="0"/>
    <n v="1"/>
    <n v="4"/>
  </r>
  <r>
    <x v="29"/>
    <x v="29"/>
    <x v="0"/>
    <d v="2024-03-26T00:00:00"/>
    <x v="0"/>
    <n v="15"/>
    <x v="2"/>
    <s v="Yes"/>
    <x v="0"/>
    <s v="Yes"/>
    <n v="20"/>
    <n v="7"/>
    <n v="58"/>
  </r>
  <r>
    <x v="30"/>
    <x v="30"/>
    <x v="2"/>
    <d v="2024-03-27T00:00:00"/>
    <x v="1"/>
    <n v="10"/>
    <x v="0"/>
    <s v="No"/>
    <x v="1"/>
    <s v="Yes"/>
    <n v="20"/>
    <n v="10"/>
    <n v="20"/>
  </r>
  <r>
    <x v="31"/>
    <x v="31"/>
    <x v="1"/>
    <d v="2024-03-28T00:00:00"/>
    <x v="0"/>
    <n v="5"/>
    <x v="1"/>
    <s v="No"/>
    <x v="1"/>
    <s v="No"/>
    <n v="0"/>
    <n v="0"/>
    <n v="5"/>
  </r>
  <r>
    <x v="32"/>
    <x v="32"/>
    <x v="0"/>
    <d v="2024-03-29T00:00:00"/>
    <x v="1"/>
    <n v="15"/>
    <x v="0"/>
    <s v="Yes"/>
    <x v="0"/>
    <s v="Yes"/>
    <n v="20"/>
    <n v="3"/>
    <n v="62"/>
  </r>
  <r>
    <x v="33"/>
    <x v="33"/>
    <x v="2"/>
    <d v="2024-03-30T00:00:00"/>
    <x v="0"/>
    <n v="10"/>
    <x v="2"/>
    <s v="No"/>
    <x v="1"/>
    <s v="Yes"/>
    <n v="20"/>
    <n v="15"/>
    <n v="15"/>
  </r>
  <r>
    <x v="34"/>
    <x v="34"/>
    <x v="1"/>
    <d v="2024-03-31T00:00:00"/>
    <x v="1"/>
    <n v="5"/>
    <x v="0"/>
    <s v="No"/>
    <x v="1"/>
    <s v="No"/>
    <n v="0"/>
    <n v="1"/>
    <n v="4"/>
  </r>
  <r>
    <x v="35"/>
    <x v="35"/>
    <x v="1"/>
    <d v="2024-04-01T00:00:00"/>
    <x v="0"/>
    <n v="5"/>
    <x v="0"/>
    <s v="No"/>
    <x v="1"/>
    <s v="No"/>
    <n v="0"/>
    <n v="0"/>
    <n v="5"/>
  </r>
  <r>
    <x v="36"/>
    <x v="36"/>
    <x v="0"/>
    <d v="2024-04-02T00:00:00"/>
    <x v="1"/>
    <n v="15"/>
    <x v="2"/>
    <s v="Yes"/>
    <x v="0"/>
    <s v="Yes"/>
    <n v="20"/>
    <n v="7"/>
    <n v="58"/>
  </r>
  <r>
    <x v="37"/>
    <x v="37"/>
    <x v="2"/>
    <d v="2024-04-03T00:00:00"/>
    <x v="0"/>
    <n v="10"/>
    <x v="1"/>
    <s v="No"/>
    <x v="1"/>
    <s v="Yes"/>
    <n v="20"/>
    <n v="10"/>
    <n v="20"/>
  </r>
  <r>
    <x v="38"/>
    <x v="38"/>
    <x v="1"/>
    <d v="2024-04-04T00:00:00"/>
    <x v="1"/>
    <n v="5"/>
    <x v="2"/>
    <s v="No"/>
    <x v="1"/>
    <s v="No"/>
    <n v="0"/>
    <n v="1"/>
    <n v="4"/>
  </r>
  <r>
    <x v="39"/>
    <x v="39"/>
    <x v="0"/>
    <d v="2024-04-05T00:00:00"/>
    <x v="0"/>
    <n v="15"/>
    <x v="0"/>
    <s v="Yes"/>
    <x v="0"/>
    <s v="Yes"/>
    <n v="20"/>
    <n v="15"/>
    <n v="50"/>
  </r>
  <r>
    <x v="40"/>
    <x v="40"/>
    <x v="2"/>
    <d v="2024-04-06T00:00:00"/>
    <x v="1"/>
    <n v="10"/>
    <x v="0"/>
    <s v="No"/>
    <x v="1"/>
    <s v="Yes"/>
    <n v="20"/>
    <n v="5"/>
    <n v="25"/>
  </r>
  <r>
    <x v="41"/>
    <x v="41"/>
    <x v="1"/>
    <d v="2024-04-07T00:00:00"/>
    <x v="0"/>
    <n v="5"/>
    <x v="1"/>
    <s v="No"/>
    <x v="1"/>
    <s v="No"/>
    <n v="0"/>
    <n v="0"/>
    <n v="5"/>
  </r>
  <r>
    <x v="42"/>
    <x v="42"/>
    <x v="0"/>
    <d v="2024-04-08T00:00:00"/>
    <x v="1"/>
    <n v="15"/>
    <x v="2"/>
    <s v="Yes"/>
    <x v="0"/>
    <s v="Yes"/>
    <n v="20"/>
    <n v="20"/>
    <n v="45"/>
  </r>
  <r>
    <x v="43"/>
    <x v="43"/>
    <x v="2"/>
    <d v="2024-04-09T00:00:00"/>
    <x v="0"/>
    <n v="10"/>
    <x v="2"/>
    <s v="No"/>
    <x v="1"/>
    <s v="Yes"/>
    <n v="20"/>
    <n v="12"/>
    <n v="18"/>
  </r>
  <r>
    <x v="44"/>
    <x v="44"/>
    <x v="1"/>
    <d v="2024-04-10T00:00:00"/>
    <x v="1"/>
    <n v="5"/>
    <x v="0"/>
    <s v="No"/>
    <x v="1"/>
    <s v="No"/>
    <n v="0"/>
    <n v="2"/>
    <n v="3"/>
  </r>
  <r>
    <x v="45"/>
    <x v="45"/>
    <x v="0"/>
    <d v="2024-04-11T00:00:00"/>
    <x v="0"/>
    <n v="15"/>
    <x v="1"/>
    <s v="Yes"/>
    <x v="0"/>
    <s v="Yes"/>
    <n v="20"/>
    <n v="5"/>
    <n v="60"/>
  </r>
  <r>
    <x v="46"/>
    <x v="46"/>
    <x v="2"/>
    <d v="2024-04-12T00:00:00"/>
    <x v="1"/>
    <n v="10"/>
    <x v="0"/>
    <s v="No"/>
    <x v="1"/>
    <s v="Yes"/>
    <n v="20"/>
    <n v="10"/>
    <n v="20"/>
  </r>
  <r>
    <x v="47"/>
    <x v="47"/>
    <x v="1"/>
    <d v="2024-04-13T00:00:00"/>
    <x v="0"/>
    <n v="5"/>
    <x v="2"/>
    <s v="No"/>
    <x v="1"/>
    <s v="No"/>
    <n v="0"/>
    <n v="0"/>
    <n v="5"/>
  </r>
  <r>
    <x v="48"/>
    <x v="48"/>
    <x v="0"/>
    <d v="2024-04-14T00:00:00"/>
    <x v="1"/>
    <n v="15"/>
    <x v="0"/>
    <s v="Yes"/>
    <x v="0"/>
    <s v="Yes"/>
    <n v="20"/>
    <n v="3"/>
    <n v="62"/>
  </r>
  <r>
    <x v="49"/>
    <x v="49"/>
    <x v="2"/>
    <d v="2024-04-15T00:00:00"/>
    <x v="0"/>
    <n v="10"/>
    <x v="1"/>
    <s v="No"/>
    <x v="1"/>
    <s v="Yes"/>
    <n v="20"/>
    <n v="15"/>
    <n v="15"/>
  </r>
  <r>
    <x v="50"/>
    <x v="50"/>
    <x v="1"/>
    <d v="2024-04-16T00:00:00"/>
    <x v="1"/>
    <n v="5"/>
    <x v="0"/>
    <s v="No"/>
    <x v="1"/>
    <s v="No"/>
    <n v="0"/>
    <n v="1"/>
    <n v="4"/>
  </r>
  <r>
    <x v="51"/>
    <x v="51"/>
    <x v="0"/>
    <d v="2024-04-17T00:00:00"/>
    <x v="0"/>
    <n v="15"/>
    <x v="2"/>
    <s v="Yes"/>
    <x v="0"/>
    <s v="Yes"/>
    <n v="20"/>
    <n v="7"/>
    <n v="58"/>
  </r>
  <r>
    <x v="52"/>
    <x v="52"/>
    <x v="2"/>
    <d v="2024-04-18T00:00:00"/>
    <x v="1"/>
    <n v="10"/>
    <x v="0"/>
    <s v="No"/>
    <x v="1"/>
    <s v="Yes"/>
    <n v="20"/>
    <n v="10"/>
    <n v="20"/>
  </r>
  <r>
    <x v="53"/>
    <x v="53"/>
    <x v="1"/>
    <d v="2024-04-19T00:00:00"/>
    <x v="0"/>
    <n v="5"/>
    <x v="1"/>
    <s v="No"/>
    <x v="1"/>
    <s v="No"/>
    <n v="0"/>
    <n v="0"/>
    <n v="5"/>
  </r>
  <r>
    <x v="54"/>
    <x v="54"/>
    <x v="0"/>
    <d v="2024-04-20T00:00:00"/>
    <x v="1"/>
    <n v="15"/>
    <x v="0"/>
    <s v="Yes"/>
    <x v="0"/>
    <s v="Yes"/>
    <n v="20"/>
    <n v="20"/>
    <n v="45"/>
  </r>
  <r>
    <x v="55"/>
    <x v="55"/>
    <x v="2"/>
    <d v="2024-04-21T00:00:00"/>
    <x v="0"/>
    <n v="10"/>
    <x v="2"/>
    <s v="No"/>
    <x v="1"/>
    <s v="Yes"/>
    <n v="20"/>
    <n v="15"/>
    <n v="15"/>
  </r>
  <r>
    <x v="56"/>
    <x v="56"/>
    <x v="1"/>
    <d v="2024-04-22T00:00:00"/>
    <x v="1"/>
    <n v="5"/>
    <x v="0"/>
    <s v="No"/>
    <x v="1"/>
    <s v="No"/>
    <n v="0"/>
    <n v="1"/>
    <n v="4"/>
  </r>
  <r>
    <x v="57"/>
    <x v="57"/>
    <x v="0"/>
    <d v="2024-04-23T00:00:00"/>
    <x v="0"/>
    <n v="15"/>
    <x v="1"/>
    <s v="Yes"/>
    <x v="0"/>
    <s v="Yes"/>
    <n v="20"/>
    <n v="3"/>
    <n v="62"/>
  </r>
  <r>
    <x v="58"/>
    <x v="58"/>
    <x v="2"/>
    <d v="2024-04-24T00:00:00"/>
    <x v="1"/>
    <n v="10"/>
    <x v="0"/>
    <s v="No"/>
    <x v="1"/>
    <s v="Yes"/>
    <n v="20"/>
    <n v="10"/>
    <n v="20"/>
  </r>
  <r>
    <x v="59"/>
    <x v="59"/>
    <x v="1"/>
    <d v="2024-04-25T00:00:00"/>
    <x v="0"/>
    <n v="5"/>
    <x v="2"/>
    <s v="No"/>
    <x v="1"/>
    <s v="No"/>
    <n v="0"/>
    <n v="0"/>
    <n v="5"/>
  </r>
  <r>
    <x v="60"/>
    <x v="60"/>
    <x v="0"/>
    <d v="2024-04-26T00:00:00"/>
    <x v="1"/>
    <n v="15"/>
    <x v="0"/>
    <s v="Yes"/>
    <x v="0"/>
    <s v="Yes"/>
    <n v="20"/>
    <n v="5"/>
    <n v="60"/>
  </r>
  <r>
    <x v="61"/>
    <x v="61"/>
    <x v="2"/>
    <d v="2024-04-27T00:00:00"/>
    <x v="0"/>
    <n v="10"/>
    <x v="1"/>
    <s v="No"/>
    <x v="1"/>
    <s v="Yes"/>
    <n v="20"/>
    <n v="15"/>
    <n v="15"/>
  </r>
  <r>
    <x v="62"/>
    <x v="62"/>
    <x v="1"/>
    <d v="2024-04-28T00:00:00"/>
    <x v="1"/>
    <n v="5"/>
    <x v="0"/>
    <s v="No"/>
    <x v="1"/>
    <s v="No"/>
    <n v="0"/>
    <n v="1"/>
    <n v="4"/>
  </r>
  <r>
    <x v="63"/>
    <x v="63"/>
    <x v="0"/>
    <d v="2024-04-29T00:00:00"/>
    <x v="0"/>
    <n v="15"/>
    <x v="2"/>
    <s v="Yes"/>
    <x v="0"/>
    <s v="Yes"/>
    <n v="20"/>
    <n v="20"/>
    <n v="45"/>
  </r>
  <r>
    <x v="64"/>
    <x v="64"/>
    <x v="2"/>
    <d v="2024-04-30T00:00:00"/>
    <x v="1"/>
    <n v="10"/>
    <x v="0"/>
    <s v="No"/>
    <x v="1"/>
    <s v="Yes"/>
    <n v="20"/>
    <n v="5"/>
    <n v="25"/>
  </r>
  <r>
    <x v="65"/>
    <x v="65"/>
    <x v="1"/>
    <d v="2024-05-01T00:00:00"/>
    <x v="1"/>
    <n v="5"/>
    <x v="0"/>
    <s v="No"/>
    <x v="1"/>
    <s v="No"/>
    <n v="0"/>
    <n v="0"/>
    <n v="5"/>
  </r>
  <r>
    <x v="66"/>
    <x v="66"/>
    <x v="0"/>
    <d v="2024-05-02T00:00:00"/>
    <x v="0"/>
    <n v="15"/>
    <x v="2"/>
    <s v="Yes"/>
    <x v="0"/>
    <s v="Yes"/>
    <n v="20"/>
    <n v="7"/>
    <n v="58"/>
  </r>
  <r>
    <x v="67"/>
    <x v="67"/>
    <x v="2"/>
    <d v="2024-05-03T00:00:00"/>
    <x v="1"/>
    <n v="10"/>
    <x v="1"/>
    <s v="No"/>
    <x v="1"/>
    <s v="Yes"/>
    <n v="20"/>
    <n v="10"/>
    <n v="20"/>
  </r>
  <r>
    <x v="68"/>
    <x v="68"/>
    <x v="1"/>
    <d v="2024-05-04T00:00:00"/>
    <x v="0"/>
    <n v="5"/>
    <x v="2"/>
    <s v="No"/>
    <x v="1"/>
    <s v="No"/>
    <n v="0"/>
    <n v="1"/>
    <n v="4"/>
  </r>
  <r>
    <x v="69"/>
    <x v="69"/>
    <x v="0"/>
    <d v="2024-05-05T00:00:00"/>
    <x v="1"/>
    <n v="15"/>
    <x v="0"/>
    <s v="Yes"/>
    <x v="0"/>
    <s v="Yes"/>
    <n v="20"/>
    <n v="15"/>
    <n v="50"/>
  </r>
  <r>
    <x v="70"/>
    <x v="70"/>
    <x v="2"/>
    <d v="2024-05-06T00:00:00"/>
    <x v="0"/>
    <n v="10"/>
    <x v="0"/>
    <s v="No"/>
    <x v="1"/>
    <s v="Yes"/>
    <n v="20"/>
    <n v="5"/>
    <n v="25"/>
  </r>
  <r>
    <x v="71"/>
    <x v="71"/>
    <x v="1"/>
    <d v="2024-05-07T00:00:00"/>
    <x v="1"/>
    <n v="5"/>
    <x v="1"/>
    <s v="No"/>
    <x v="1"/>
    <s v="No"/>
    <n v="0"/>
    <n v="0"/>
    <n v="5"/>
  </r>
  <r>
    <x v="72"/>
    <x v="72"/>
    <x v="0"/>
    <d v="2024-05-08T00:00:00"/>
    <x v="0"/>
    <n v="15"/>
    <x v="2"/>
    <s v="Yes"/>
    <x v="0"/>
    <s v="Yes"/>
    <n v="20"/>
    <n v="20"/>
    <n v="45"/>
  </r>
  <r>
    <x v="73"/>
    <x v="73"/>
    <x v="2"/>
    <d v="2024-05-09T00:00:00"/>
    <x v="1"/>
    <n v="10"/>
    <x v="2"/>
    <s v="No"/>
    <x v="1"/>
    <s v="Yes"/>
    <n v="20"/>
    <n v="12"/>
    <n v="18"/>
  </r>
  <r>
    <x v="74"/>
    <x v="74"/>
    <x v="1"/>
    <d v="2024-05-10T00:00:00"/>
    <x v="0"/>
    <n v="5"/>
    <x v="0"/>
    <s v="No"/>
    <x v="1"/>
    <s v="No"/>
    <n v="0"/>
    <n v="2"/>
    <n v="3"/>
  </r>
  <r>
    <x v="75"/>
    <x v="75"/>
    <x v="0"/>
    <d v="2024-05-11T00:00:00"/>
    <x v="1"/>
    <n v="15"/>
    <x v="1"/>
    <s v="Yes"/>
    <x v="0"/>
    <s v="Yes"/>
    <n v="20"/>
    <n v="5"/>
    <n v="60"/>
  </r>
  <r>
    <x v="76"/>
    <x v="76"/>
    <x v="2"/>
    <d v="2024-05-12T00:00:00"/>
    <x v="0"/>
    <n v="10"/>
    <x v="0"/>
    <s v="No"/>
    <x v="1"/>
    <s v="Yes"/>
    <n v="20"/>
    <n v="10"/>
    <n v="20"/>
  </r>
  <r>
    <x v="77"/>
    <x v="77"/>
    <x v="1"/>
    <d v="2024-05-13T00:00:00"/>
    <x v="1"/>
    <n v="5"/>
    <x v="2"/>
    <s v="No"/>
    <x v="1"/>
    <s v="No"/>
    <n v="0"/>
    <n v="0"/>
    <n v="5"/>
  </r>
  <r>
    <x v="78"/>
    <x v="78"/>
    <x v="0"/>
    <d v="2024-05-14T00:00:00"/>
    <x v="0"/>
    <n v="15"/>
    <x v="0"/>
    <s v="Yes"/>
    <x v="0"/>
    <s v="Yes"/>
    <n v="20"/>
    <n v="3"/>
    <n v="62"/>
  </r>
  <r>
    <x v="79"/>
    <x v="79"/>
    <x v="2"/>
    <d v="2024-05-15T00:00:00"/>
    <x v="1"/>
    <n v="10"/>
    <x v="1"/>
    <s v="No"/>
    <x v="1"/>
    <s v="Yes"/>
    <n v="20"/>
    <n v="15"/>
    <n v="15"/>
  </r>
  <r>
    <x v="80"/>
    <x v="80"/>
    <x v="1"/>
    <d v="2024-05-16T00:00:00"/>
    <x v="0"/>
    <n v="5"/>
    <x v="0"/>
    <s v="No"/>
    <x v="1"/>
    <s v="No"/>
    <n v="0"/>
    <n v="1"/>
    <n v="4"/>
  </r>
  <r>
    <x v="81"/>
    <x v="81"/>
    <x v="0"/>
    <d v="2024-05-17T00:00:00"/>
    <x v="1"/>
    <n v="15"/>
    <x v="2"/>
    <s v="Yes"/>
    <x v="0"/>
    <s v="Yes"/>
    <n v="20"/>
    <n v="7"/>
    <n v="58"/>
  </r>
  <r>
    <x v="82"/>
    <x v="82"/>
    <x v="2"/>
    <d v="2024-05-18T00:00:00"/>
    <x v="0"/>
    <n v="10"/>
    <x v="0"/>
    <s v="No"/>
    <x v="1"/>
    <s v="Yes"/>
    <n v="20"/>
    <n v="10"/>
    <n v="20"/>
  </r>
  <r>
    <x v="83"/>
    <x v="83"/>
    <x v="1"/>
    <d v="2024-05-19T00:00:00"/>
    <x v="1"/>
    <n v="5"/>
    <x v="1"/>
    <s v="No"/>
    <x v="1"/>
    <s v="No"/>
    <n v="0"/>
    <n v="0"/>
    <n v="5"/>
  </r>
  <r>
    <x v="84"/>
    <x v="84"/>
    <x v="0"/>
    <d v="2024-05-20T00:00:00"/>
    <x v="0"/>
    <n v="15"/>
    <x v="0"/>
    <s v="Yes"/>
    <x v="0"/>
    <s v="Yes"/>
    <n v="20"/>
    <n v="20"/>
    <n v="45"/>
  </r>
  <r>
    <x v="85"/>
    <x v="85"/>
    <x v="2"/>
    <d v="2024-05-21T00:00:00"/>
    <x v="1"/>
    <n v="10"/>
    <x v="2"/>
    <s v="No"/>
    <x v="1"/>
    <s v="Yes"/>
    <n v="20"/>
    <n v="15"/>
    <n v="15"/>
  </r>
  <r>
    <x v="86"/>
    <x v="86"/>
    <x v="1"/>
    <d v="2024-05-22T00:00:00"/>
    <x v="0"/>
    <n v="5"/>
    <x v="0"/>
    <s v="No"/>
    <x v="1"/>
    <s v="No"/>
    <n v="0"/>
    <n v="1"/>
    <n v="4"/>
  </r>
  <r>
    <x v="87"/>
    <x v="87"/>
    <x v="0"/>
    <d v="2024-05-23T00:00:00"/>
    <x v="1"/>
    <n v="15"/>
    <x v="1"/>
    <s v="Yes"/>
    <x v="0"/>
    <s v="Yes"/>
    <n v="20"/>
    <n v="3"/>
    <n v="62"/>
  </r>
  <r>
    <x v="88"/>
    <x v="88"/>
    <x v="2"/>
    <d v="2024-05-24T00:00:00"/>
    <x v="0"/>
    <n v="10"/>
    <x v="0"/>
    <s v="No"/>
    <x v="1"/>
    <s v="Yes"/>
    <n v="20"/>
    <n v="10"/>
    <n v="20"/>
  </r>
  <r>
    <x v="89"/>
    <x v="89"/>
    <x v="1"/>
    <d v="2024-05-25T00:00:00"/>
    <x v="1"/>
    <n v="5"/>
    <x v="2"/>
    <s v="No"/>
    <x v="1"/>
    <s v="No"/>
    <n v="0"/>
    <n v="0"/>
    <n v="5"/>
  </r>
  <r>
    <x v="90"/>
    <x v="90"/>
    <x v="0"/>
    <d v="2024-05-26T00:00:00"/>
    <x v="0"/>
    <n v="15"/>
    <x v="0"/>
    <s v="Yes"/>
    <x v="0"/>
    <s v="Yes"/>
    <n v="20"/>
    <n v="5"/>
    <n v="60"/>
  </r>
  <r>
    <x v="91"/>
    <x v="91"/>
    <x v="2"/>
    <d v="2024-05-27T00:00:00"/>
    <x v="1"/>
    <n v="10"/>
    <x v="1"/>
    <s v="No"/>
    <x v="1"/>
    <s v="Yes"/>
    <n v="20"/>
    <n v="15"/>
    <n v="15"/>
  </r>
  <r>
    <x v="92"/>
    <x v="92"/>
    <x v="1"/>
    <d v="2024-05-28T00:00:00"/>
    <x v="0"/>
    <n v="5"/>
    <x v="0"/>
    <s v="No"/>
    <x v="1"/>
    <s v="No"/>
    <n v="0"/>
    <n v="1"/>
    <n v="4"/>
  </r>
  <r>
    <x v="93"/>
    <x v="93"/>
    <x v="0"/>
    <d v="2024-05-29T00:00:00"/>
    <x v="1"/>
    <n v="15"/>
    <x v="2"/>
    <s v="Yes"/>
    <x v="0"/>
    <s v="Yes"/>
    <n v="20"/>
    <n v="20"/>
    <n v="45"/>
  </r>
  <r>
    <x v="94"/>
    <x v="94"/>
    <x v="2"/>
    <d v="2024-05-30T00:00:00"/>
    <x v="0"/>
    <n v="10"/>
    <x v="2"/>
    <s v="No"/>
    <x v="1"/>
    <s v="Yes"/>
    <n v="20"/>
    <n v="15"/>
    <n v="15"/>
  </r>
  <r>
    <x v="95"/>
    <x v="95"/>
    <x v="1"/>
    <d v="2024-05-31T00:00:00"/>
    <x v="1"/>
    <n v="5"/>
    <x v="1"/>
    <s v="No"/>
    <x v="1"/>
    <s v="No"/>
    <n v="0"/>
    <n v="0"/>
    <n v="5"/>
  </r>
  <r>
    <x v="96"/>
    <x v="96"/>
    <x v="0"/>
    <d v="2024-06-01T00:00:00"/>
    <x v="0"/>
    <n v="15"/>
    <x v="0"/>
    <s v="Yes"/>
    <x v="0"/>
    <s v="Yes"/>
    <n v="20"/>
    <n v="7"/>
    <n v="58"/>
  </r>
  <r>
    <x v="97"/>
    <x v="97"/>
    <x v="2"/>
    <d v="2024-06-02T00:00:00"/>
    <x v="1"/>
    <n v="10"/>
    <x v="1"/>
    <s v="No"/>
    <x v="1"/>
    <s v="Yes"/>
    <n v="20"/>
    <n v="10"/>
    <n v="20"/>
  </r>
  <r>
    <x v="98"/>
    <x v="98"/>
    <x v="1"/>
    <d v="2024-06-03T00:00:00"/>
    <x v="0"/>
    <n v="5"/>
    <x v="2"/>
    <s v="No"/>
    <x v="1"/>
    <s v="No"/>
    <n v="0"/>
    <n v="1"/>
    <n v="4"/>
  </r>
  <r>
    <x v="99"/>
    <x v="99"/>
    <x v="0"/>
    <d v="2024-06-04T00:00:00"/>
    <x v="1"/>
    <n v="15"/>
    <x v="0"/>
    <s v="Yes"/>
    <x v="0"/>
    <s v="Yes"/>
    <n v="20"/>
    <n v="15"/>
    <n v="50"/>
  </r>
  <r>
    <x v="100"/>
    <x v="100"/>
    <x v="2"/>
    <d v="2024-06-05T00:00:00"/>
    <x v="0"/>
    <n v="10"/>
    <x v="0"/>
    <s v="No"/>
    <x v="1"/>
    <s v="Yes"/>
    <n v="20"/>
    <n v="5"/>
    <n v="25"/>
  </r>
  <r>
    <x v="101"/>
    <x v="101"/>
    <x v="1"/>
    <d v="2024-06-06T00:00:00"/>
    <x v="1"/>
    <n v="5"/>
    <x v="1"/>
    <s v="No"/>
    <x v="1"/>
    <s v="No"/>
    <n v="0"/>
    <n v="0"/>
    <n v="5"/>
  </r>
  <r>
    <x v="102"/>
    <x v="102"/>
    <x v="0"/>
    <d v="2024-06-07T00:00:00"/>
    <x v="0"/>
    <n v="15"/>
    <x v="2"/>
    <s v="Yes"/>
    <x v="0"/>
    <s v="Yes"/>
    <n v="20"/>
    <n v="20"/>
    <n v="45"/>
  </r>
  <r>
    <x v="103"/>
    <x v="103"/>
    <x v="2"/>
    <d v="2024-06-08T00:00:00"/>
    <x v="1"/>
    <n v="10"/>
    <x v="2"/>
    <s v="No"/>
    <x v="1"/>
    <s v="Yes"/>
    <n v="20"/>
    <n v="12"/>
    <n v="18"/>
  </r>
  <r>
    <x v="104"/>
    <x v="104"/>
    <x v="1"/>
    <d v="2024-06-09T00:00:00"/>
    <x v="0"/>
    <n v="5"/>
    <x v="0"/>
    <s v="No"/>
    <x v="1"/>
    <s v="No"/>
    <n v="0"/>
    <n v="2"/>
    <n v="3"/>
  </r>
  <r>
    <x v="105"/>
    <x v="105"/>
    <x v="1"/>
    <d v="2024-06-10T00:00:00"/>
    <x v="0"/>
    <n v="5"/>
    <x v="0"/>
    <s v="No"/>
    <x v="1"/>
    <s v="No"/>
    <n v="0"/>
    <n v="0"/>
    <n v="5"/>
  </r>
  <r>
    <x v="106"/>
    <x v="106"/>
    <x v="0"/>
    <d v="2024-06-11T00:00:00"/>
    <x v="1"/>
    <n v="15"/>
    <x v="2"/>
    <s v="Yes"/>
    <x v="0"/>
    <s v="Yes"/>
    <n v="20"/>
    <n v="7"/>
    <n v="58"/>
  </r>
  <r>
    <x v="107"/>
    <x v="107"/>
    <x v="2"/>
    <d v="2024-06-12T00:00:00"/>
    <x v="0"/>
    <n v="10"/>
    <x v="1"/>
    <s v="No"/>
    <x v="1"/>
    <s v="Yes"/>
    <n v="20"/>
    <n v="10"/>
    <n v="20"/>
  </r>
  <r>
    <x v="108"/>
    <x v="108"/>
    <x v="1"/>
    <d v="2024-06-13T00:00:00"/>
    <x v="1"/>
    <n v="5"/>
    <x v="2"/>
    <s v="No"/>
    <x v="1"/>
    <s v="No"/>
    <n v="0"/>
    <n v="1"/>
    <n v="4"/>
  </r>
  <r>
    <x v="109"/>
    <x v="109"/>
    <x v="0"/>
    <d v="2024-06-14T00:00:00"/>
    <x v="0"/>
    <n v="15"/>
    <x v="0"/>
    <s v="Yes"/>
    <x v="0"/>
    <s v="Yes"/>
    <n v="20"/>
    <n v="15"/>
    <n v="50"/>
  </r>
  <r>
    <x v="110"/>
    <x v="110"/>
    <x v="2"/>
    <d v="2024-06-15T00:00:00"/>
    <x v="1"/>
    <n v="10"/>
    <x v="0"/>
    <s v="No"/>
    <x v="1"/>
    <s v="Yes"/>
    <n v="20"/>
    <n v="5"/>
    <n v="25"/>
  </r>
  <r>
    <x v="111"/>
    <x v="111"/>
    <x v="1"/>
    <d v="2024-06-16T00:00:00"/>
    <x v="0"/>
    <n v="5"/>
    <x v="1"/>
    <s v="No"/>
    <x v="1"/>
    <s v="No"/>
    <n v="0"/>
    <n v="0"/>
    <n v="5"/>
  </r>
  <r>
    <x v="112"/>
    <x v="112"/>
    <x v="0"/>
    <d v="2024-06-17T00:00:00"/>
    <x v="1"/>
    <n v="15"/>
    <x v="2"/>
    <s v="Yes"/>
    <x v="0"/>
    <s v="Yes"/>
    <n v="20"/>
    <n v="20"/>
    <n v="45"/>
  </r>
  <r>
    <x v="113"/>
    <x v="113"/>
    <x v="2"/>
    <d v="2024-06-18T00:00:00"/>
    <x v="0"/>
    <n v="10"/>
    <x v="2"/>
    <s v="No"/>
    <x v="1"/>
    <s v="Yes"/>
    <n v="20"/>
    <n v="12"/>
    <n v="18"/>
  </r>
  <r>
    <x v="114"/>
    <x v="114"/>
    <x v="1"/>
    <d v="2024-06-19T00:00:00"/>
    <x v="1"/>
    <n v="5"/>
    <x v="0"/>
    <s v="No"/>
    <x v="1"/>
    <s v="No"/>
    <n v="0"/>
    <n v="2"/>
    <n v="3"/>
  </r>
  <r>
    <x v="115"/>
    <x v="115"/>
    <x v="0"/>
    <d v="2024-06-20T00:00:00"/>
    <x v="0"/>
    <n v="15"/>
    <x v="1"/>
    <s v="Yes"/>
    <x v="0"/>
    <s v="Yes"/>
    <n v="20"/>
    <n v="5"/>
    <n v="60"/>
  </r>
  <r>
    <x v="116"/>
    <x v="116"/>
    <x v="2"/>
    <d v="2024-06-21T00:00:00"/>
    <x v="1"/>
    <n v="10"/>
    <x v="0"/>
    <s v="No"/>
    <x v="1"/>
    <s v="Yes"/>
    <n v="20"/>
    <n v="10"/>
    <n v="20"/>
  </r>
  <r>
    <x v="117"/>
    <x v="117"/>
    <x v="1"/>
    <d v="2024-06-22T00:00:00"/>
    <x v="0"/>
    <n v="5"/>
    <x v="2"/>
    <s v="No"/>
    <x v="1"/>
    <s v="No"/>
    <n v="0"/>
    <n v="0"/>
    <n v="5"/>
  </r>
  <r>
    <x v="118"/>
    <x v="93"/>
    <x v="0"/>
    <d v="2024-06-23T00:00:00"/>
    <x v="1"/>
    <n v="15"/>
    <x v="0"/>
    <s v="Yes"/>
    <x v="0"/>
    <s v="Yes"/>
    <n v="20"/>
    <n v="3"/>
    <n v="62"/>
  </r>
  <r>
    <x v="119"/>
    <x v="118"/>
    <x v="2"/>
    <d v="2024-06-24T00:00:00"/>
    <x v="0"/>
    <n v="10"/>
    <x v="1"/>
    <s v="No"/>
    <x v="1"/>
    <s v="Yes"/>
    <n v="20"/>
    <n v="15"/>
    <n v="15"/>
  </r>
  <r>
    <x v="120"/>
    <x v="119"/>
    <x v="1"/>
    <d v="2024-06-25T00:00:00"/>
    <x v="1"/>
    <n v="5"/>
    <x v="0"/>
    <s v="No"/>
    <x v="1"/>
    <s v="No"/>
    <n v="0"/>
    <n v="1"/>
    <n v="4"/>
  </r>
  <r>
    <x v="121"/>
    <x v="120"/>
    <x v="0"/>
    <d v="2024-06-26T00:00:00"/>
    <x v="0"/>
    <n v="15"/>
    <x v="2"/>
    <s v="Yes"/>
    <x v="0"/>
    <s v="Yes"/>
    <n v="20"/>
    <n v="7"/>
    <n v="58"/>
  </r>
  <r>
    <x v="122"/>
    <x v="121"/>
    <x v="2"/>
    <d v="2024-06-27T00:00:00"/>
    <x v="1"/>
    <n v="10"/>
    <x v="0"/>
    <s v="No"/>
    <x v="1"/>
    <s v="Yes"/>
    <n v="20"/>
    <n v="10"/>
    <n v="20"/>
  </r>
  <r>
    <x v="123"/>
    <x v="122"/>
    <x v="1"/>
    <d v="2024-06-28T00:00:00"/>
    <x v="0"/>
    <n v="5"/>
    <x v="1"/>
    <s v="No"/>
    <x v="1"/>
    <s v="No"/>
    <n v="0"/>
    <n v="0"/>
    <n v="5"/>
  </r>
  <r>
    <x v="124"/>
    <x v="123"/>
    <x v="0"/>
    <d v="2024-06-29T00:00:00"/>
    <x v="1"/>
    <n v="15"/>
    <x v="0"/>
    <s v="Yes"/>
    <x v="0"/>
    <s v="Yes"/>
    <n v="20"/>
    <n v="20"/>
    <n v="45"/>
  </r>
  <r>
    <x v="125"/>
    <x v="124"/>
    <x v="2"/>
    <d v="2024-06-30T00:00:00"/>
    <x v="0"/>
    <n v="10"/>
    <x v="2"/>
    <s v="No"/>
    <x v="1"/>
    <s v="Yes"/>
    <n v="20"/>
    <n v="15"/>
    <n v="15"/>
  </r>
  <r>
    <x v="126"/>
    <x v="125"/>
    <x v="1"/>
    <d v="2024-07-01T00:00:00"/>
    <x v="1"/>
    <n v="5"/>
    <x v="0"/>
    <s v="No"/>
    <x v="1"/>
    <s v="No"/>
    <n v="0"/>
    <n v="1"/>
    <n v="4"/>
  </r>
  <r>
    <x v="127"/>
    <x v="126"/>
    <x v="0"/>
    <d v="2024-07-02T00:00:00"/>
    <x v="0"/>
    <n v="15"/>
    <x v="1"/>
    <s v="Yes"/>
    <x v="0"/>
    <s v="Yes"/>
    <n v="20"/>
    <n v="3"/>
    <n v="62"/>
  </r>
  <r>
    <x v="128"/>
    <x v="127"/>
    <x v="2"/>
    <d v="2024-07-03T00:00:00"/>
    <x v="1"/>
    <n v="10"/>
    <x v="0"/>
    <s v="No"/>
    <x v="1"/>
    <s v="Yes"/>
    <n v="20"/>
    <n v="10"/>
    <n v="20"/>
  </r>
  <r>
    <x v="129"/>
    <x v="128"/>
    <x v="1"/>
    <d v="2024-07-04T00:00:00"/>
    <x v="0"/>
    <n v="5"/>
    <x v="2"/>
    <s v="No"/>
    <x v="1"/>
    <s v="No"/>
    <n v="0"/>
    <n v="0"/>
    <n v="5"/>
  </r>
  <r>
    <x v="130"/>
    <x v="129"/>
    <x v="0"/>
    <d v="2024-07-05T00:00:00"/>
    <x v="1"/>
    <n v="15"/>
    <x v="0"/>
    <s v="Yes"/>
    <x v="0"/>
    <s v="Yes"/>
    <n v="20"/>
    <n v="15"/>
    <n v="50"/>
  </r>
  <r>
    <x v="131"/>
    <x v="130"/>
    <x v="2"/>
    <d v="2024-07-06T00:00:00"/>
    <x v="0"/>
    <n v="10"/>
    <x v="1"/>
    <s v="No"/>
    <x v="1"/>
    <s v="Yes"/>
    <n v="20"/>
    <n v="15"/>
    <n v="15"/>
  </r>
  <r>
    <x v="132"/>
    <x v="131"/>
    <x v="1"/>
    <d v="2024-07-07T00:00:00"/>
    <x v="1"/>
    <n v="5"/>
    <x v="0"/>
    <s v="No"/>
    <x v="1"/>
    <s v="No"/>
    <n v="0"/>
    <n v="1"/>
    <n v="4"/>
  </r>
  <r>
    <x v="133"/>
    <x v="132"/>
    <x v="0"/>
    <d v="2024-07-08T00:00:00"/>
    <x v="0"/>
    <n v="15"/>
    <x v="2"/>
    <s v="Yes"/>
    <x v="0"/>
    <s v="Yes"/>
    <n v="20"/>
    <n v="7"/>
    <n v="58"/>
  </r>
  <r>
    <x v="134"/>
    <x v="133"/>
    <x v="2"/>
    <d v="2024-07-09T00:00:00"/>
    <x v="1"/>
    <n v="10"/>
    <x v="0"/>
    <s v="No"/>
    <x v="1"/>
    <s v="Yes"/>
    <n v="20"/>
    <n v="10"/>
    <n v="20"/>
  </r>
  <r>
    <x v="135"/>
    <x v="134"/>
    <x v="1"/>
    <d v="2024-07-10T00:00:00"/>
    <x v="0"/>
    <n v="5"/>
    <x v="0"/>
    <s v="No"/>
    <x v="1"/>
    <s v="No"/>
    <n v="0"/>
    <n v="0"/>
    <n v="5"/>
  </r>
  <r>
    <x v="136"/>
    <x v="135"/>
    <x v="0"/>
    <d v="2024-07-11T00:00:00"/>
    <x v="1"/>
    <n v="15"/>
    <x v="2"/>
    <s v="Yes"/>
    <x v="0"/>
    <s v="Yes"/>
    <n v="20"/>
    <n v="7"/>
    <n v="58"/>
  </r>
  <r>
    <x v="137"/>
    <x v="136"/>
    <x v="2"/>
    <d v="2024-07-12T00:00:00"/>
    <x v="0"/>
    <n v="10"/>
    <x v="1"/>
    <s v="No"/>
    <x v="1"/>
    <s v="Yes"/>
    <n v="20"/>
    <n v="10"/>
    <n v="20"/>
  </r>
  <r>
    <x v="138"/>
    <x v="137"/>
    <x v="1"/>
    <d v="2024-07-13T00:00:00"/>
    <x v="1"/>
    <n v="5"/>
    <x v="2"/>
    <s v="No"/>
    <x v="1"/>
    <s v="No"/>
    <n v="0"/>
    <n v="1"/>
    <n v="4"/>
  </r>
  <r>
    <x v="139"/>
    <x v="138"/>
    <x v="0"/>
    <d v="2024-07-14T00:00:00"/>
    <x v="0"/>
    <n v="15"/>
    <x v="0"/>
    <s v="Yes"/>
    <x v="0"/>
    <s v="Yes"/>
    <n v="20"/>
    <n v="15"/>
    <n v="50"/>
  </r>
  <r>
    <x v="140"/>
    <x v="139"/>
    <x v="2"/>
    <d v="2024-07-15T00:00:00"/>
    <x v="1"/>
    <n v="10"/>
    <x v="0"/>
    <s v="No"/>
    <x v="1"/>
    <s v="Yes"/>
    <n v="20"/>
    <n v="5"/>
    <n v="25"/>
  </r>
  <r>
    <x v="141"/>
    <x v="140"/>
    <x v="1"/>
    <d v="2024-07-16T00:00:00"/>
    <x v="0"/>
    <n v="5"/>
    <x v="1"/>
    <s v="No"/>
    <x v="1"/>
    <s v="No"/>
    <n v="0"/>
    <n v="0"/>
    <n v="5"/>
  </r>
  <r>
    <x v="142"/>
    <x v="141"/>
    <x v="0"/>
    <d v="2024-07-17T00:00:00"/>
    <x v="1"/>
    <n v="15"/>
    <x v="2"/>
    <s v="Yes"/>
    <x v="0"/>
    <s v="Yes"/>
    <n v="20"/>
    <n v="20"/>
    <n v="45"/>
  </r>
  <r>
    <x v="143"/>
    <x v="142"/>
    <x v="2"/>
    <d v="2024-07-18T00:00:00"/>
    <x v="0"/>
    <n v="10"/>
    <x v="2"/>
    <s v="No"/>
    <x v="1"/>
    <s v="Yes"/>
    <n v="20"/>
    <n v="12"/>
    <n v="18"/>
  </r>
  <r>
    <x v="144"/>
    <x v="143"/>
    <x v="1"/>
    <d v="2024-07-19T00:00:00"/>
    <x v="1"/>
    <n v="5"/>
    <x v="0"/>
    <s v="No"/>
    <x v="1"/>
    <s v="No"/>
    <n v="0"/>
    <n v="2"/>
    <n v="3"/>
  </r>
  <r>
    <x v="145"/>
    <x v="144"/>
    <x v="0"/>
    <d v="2024-07-20T00:00:00"/>
    <x v="0"/>
    <n v="15"/>
    <x v="1"/>
    <s v="Yes"/>
    <x v="0"/>
    <s v="Yes"/>
    <n v="20"/>
    <n v="5"/>
    <n v="60"/>
  </r>
  <r>
    <x v="146"/>
    <x v="145"/>
    <x v="2"/>
    <d v="2024-07-21T00:00:00"/>
    <x v="1"/>
    <n v="10"/>
    <x v="0"/>
    <s v="No"/>
    <x v="1"/>
    <s v="Yes"/>
    <n v="20"/>
    <n v="10"/>
    <n v="20"/>
  </r>
  <r>
    <x v="147"/>
    <x v="146"/>
    <x v="1"/>
    <d v="2024-07-22T00:00:00"/>
    <x v="0"/>
    <n v="5"/>
    <x v="2"/>
    <s v="No"/>
    <x v="1"/>
    <s v="No"/>
    <n v="0"/>
    <n v="0"/>
    <n v="5"/>
  </r>
  <r>
    <x v="148"/>
    <x v="147"/>
    <x v="0"/>
    <d v="2024-07-23T00:00:00"/>
    <x v="1"/>
    <n v="15"/>
    <x v="0"/>
    <s v="Yes"/>
    <x v="0"/>
    <s v="Yes"/>
    <n v="20"/>
    <n v="3"/>
    <n v="62"/>
  </r>
  <r>
    <x v="149"/>
    <x v="148"/>
    <x v="2"/>
    <d v="2024-07-24T00:00:00"/>
    <x v="0"/>
    <n v="10"/>
    <x v="1"/>
    <s v="No"/>
    <x v="1"/>
    <s v="Yes"/>
    <n v="20"/>
    <n v="15"/>
    <n v="15"/>
  </r>
  <r>
    <x v="150"/>
    <x v="149"/>
    <x v="1"/>
    <d v="2024-07-25T00:00:00"/>
    <x v="1"/>
    <n v="5"/>
    <x v="0"/>
    <s v="No"/>
    <x v="1"/>
    <s v="No"/>
    <n v="0"/>
    <n v="1"/>
    <n v="4"/>
  </r>
  <r>
    <x v="151"/>
    <x v="150"/>
    <x v="0"/>
    <d v="2024-07-26T00:00:00"/>
    <x v="0"/>
    <n v="15"/>
    <x v="2"/>
    <s v="Yes"/>
    <x v="0"/>
    <s v="Yes"/>
    <n v="20"/>
    <n v="7"/>
    <n v="58"/>
  </r>
  <r>
    <x v="152"/>
    <x v="151"/>
    <x v="2"/>
    <d v="2024-07-27T00:00:00"/>
    <x v="1"/>
    <n v="10"/>
    <x v="0"/>
    <s v="No"/>
    <x v="1"/>
    <s v="Yes"/>
    <n v="20"/>
    <n v="10"/>
    <n v="20"/>
  </r>
  <r>
    <x v="153"/>
    <x v="152"/>
    <x v="1"/>
    <d v="2024-07-28T00:00:00"/>
    <x v="0"/>
    <n v="5"/>
    <x v="1"/>
    <s v="No"/>
    <x v="1"/>
    <s v="No"/>
    <n v="0"/>
    <n v="0"/>
    <n v="5"/>
  </r>
  <r>
    <x v="154"/>
    <x v="153"/>
    <x v="0"/>
    <d v="2024-07-29T00:00:00"/>
    <x v="1"/>
    <n v="15"/>
    <x v="0"/>
    <s v="Yes"/>
    <x v="0"/>
    <s v="Yes"/>
    <n v="20"/>
    <n v="20"/>
    <n v="45"/>
  </r>
  <r>
    <x v="155"/>
    <x v="154"/>
    <x v="2"/>
    <d v="2024-07-30T00:00:00"/>
    <x v="0"/>
    <n v="10"/>
    <x v="2"/>
    <s v="No"/>
    <x v="1"/>
    <s v="Yes"/>
    <n v="20"/>
    <n v="15"/>
    <n v="15"/>
  </r>
  <r>
    <x v="156"/>
    <x v="155"/>
    <x v="1"/>
    <d v="2024-07-31T00:00:00"/>
    <x v="1"/>
    <n v="5"/>
    <x v="0"/>
    <s v="No"/>
    <x v="1"/>
    <s v="No"/>
    <n v="0"/>
    <n v="1"/>
    <n v="4"/>
  </r>
  <r>
    <x v="157"/>
    <x v="156"/>
    <x v="0"/>
    <d v="2024-08-01T00:00:00"/>
    <x v="0"/>
    <n v="15"/>
    <x v="1"/>
    <s v="Yes"/>
    <x v="0"/>
    <s v="Yes"/>
    <n v="20"/>
    <n v="3"/>
    <n v="62"/>
  </r>
  <r>
    <x v="158"/>
    <x v="157"/>
    <x v="2"/>
    <d v="2024-08-02T00:00:00"/>
    <x v="1"/>
    <n v="10"/>
    <x v="0"/>
    <s v="No"/>
    <x v="1"/>
    <s v="Yes"/>
    <n v="20"/>
    <n v="10"/>
    <n v="20"/>
  </r>
  <r>
    <x v="159"/>
    <x v="158"/>
    <x v="1"/>
    <d v="2024-08-03T00:00:00"/>
    <x v="0"/>
    <n v="5"/>
    <x v="2"/>
    <s v="No"/>
    <x v="1"/>
    <s v="No"/>
    <n v="0"/>
    <n v="0"/>
    <n v="5"/>
  </r>
  <r>
    <x v="160"/>
    <x v="58"/>
    <x v="0"/>
    <d v="2024-08-04T00:00:00"/>
    <x v="1"/>
    <n v="15"/>
    <x v="0"/>
    <s v="Yes"/>
    <x v="0"/>
    <s v="Yes"/>
    <n v="20"/>
    <n v="15"/>
    <n v="50"/>
  </r>
  <r>
    <x v="161"/>
    <x v="159"/>
    <x v="2"/>
    <d v="2024-08-05T00:00:00"/>
    <x v="0"/>
    <n v="10"/>
    <x v="1"/>
    <s v="No"/>
    <x v="1"/>
    <s v="Yes"/>
    <n v="20"/>
    <n v="15"/>
    <n v="15"/>
  </r>
  <r>
    <x v="162"/>
    <x v="160"/>
    <x v="1"/>
    <d v="2024-08-06T00:00:00"/>
    <x v="1"/>
    <n v="5"/>
    <x v="0"/>
    <s v="No"/>
    <x v="1"/>
    <s v="No"/>
    <n v="0"/>
    <n v="1"/>
    <n v="4"/>
  </r>
  <r>
    <x v="163"/>
    <x v="161"/>
    <x v="0"/>
    <d v="2024-08-07T00:00:00"/>
    <x v="0"/>
    <n v="15"/>
    <x v="2"/>
    <s v="Yes"/>
    <x v="0"/>
    <s v="Yes"/>
    <n v="20"/>
    <n v="7"/>
    <n v="58"/>
  </r>
  <r>
    <x v="164"/>
    <x v="162"/>
    <x v="2"/>
    <d v="2024-08-08T00:00:00"/>
    <x v="1"/>
    <n v="10"/>
    <x v="0"/>
    <s v="No"/>
    <x v="1"/>
    <s v="Yes"/>
    <n v="20"/>
    <n v="10"/>
    <n v="20"/>
  </r>
  <r>
    <x v="165"/>
    <x v="163"/>
    <x v="1"/>
    <d v="2024-08-09T00:00:00"/>
    <x v="0"/>
    <n v="5"/>
    <x v="1"/>
    <s v="No"/>
    <x v="1"/>
    <s v="No"/>
    <n v="0"/>
    <n v="0"/>
    <n v="5"/>
  </r>
  <r>
    <x v="166"/>
    <x v="90"/>
    <x v="0"/>
    <d v="2024-08-10T00:00:00"/>
    <x v="1"/>
    <n v="15"/>
    <x v="0"/>
    <s v="Yes"/>
    <x v="0"/>
    <s v="Yes"/>
    <n v="20"/>
    <n v="20"/>
    <n v="45"/>
  </r>
  <r>
    <x v="167"/>
    <x v="164"/>
    <x v="2"/>
    <d v="2024-08-11T00:00:00"/>
    <x v="0"/>
    <n v="10"/>
    <x v="2"/>
    <s v="No"/>
    <x v="1"/>
    <s v="Yes"/>
    <n v="20"/>
    <n v="15"/>
    <n v="15"/>
  </r>
  <r>
    <x v="168"/>
    <x v="165"/>
    <x v="1"/>
    <d v="2024-08-12T00:00:00"/>
    <x v="1"/>
    <n v="5"/>
    <x v="0"/>
    <s v="No"/>
    <x v="1"/>
    <s v="No"/>
    <n v="0"/>
    <n v="1"/>
    <n v="4"/>
  </r>
  <r>
    <x v="169"/>
    <x v="166"/>
    <x v="0"/>
    <d v="2024-08-13T00:00:00"/>
    <x v="0"/>
    <n v="15"/>
    <x v="1"/>
    <s v="Yes"/>
    <x v="0"/>
    <s v="Yes"/>
    <n v="20"/>
    <n v="5"/>
    <n v="60"/>
  </r>
  <r>
    <x v="170"/>
    <x v="167"/>
    <x v="2"/>
    <d v="2024-08-14T00:00:00"/>
    <x v="1"/>
    <n v="10"/>
    <x v="0"/>
    <s v="No"/>
    <x v="1"/>
    <s v="Yes"/>
    <n v="20"/>
    <n v="10"/>
    <n v="20"/>
  </r>
  <r>
    <x v="171"/>
    <x v="168"/>
    <x v="1"/>
    <d v="2024-08-15T00:00:00"/>
    <x v="0"/>
    <n v="5"/>
    <x v="2"/>
    <s v="No"/>
    <x v="1"/>
    <s v="No"/>
    <n v="0"/>
    <n v="0"/>
    <n v="5"/>
  </r>
  <r>
    <x v="172"/>
    <x v="169"/>
    <x v="0"/>
    <d v="2024-08-16T00:00:00"/>
    <x v="1"/>
    <n v="15"/>
    <x v="0"/>
    <s v="Yes"/>
    <x v="0"/>
    <s v="Yes"/>
    <n v="20"/>
    <n v="3"/>
    <n v="62"/>
  </r>
  <r>
    <x v="173"/>
    <x v="170"/>
    <x v="2"/>
    <d v="2024-08-17T00:00:00"/>
    <x v="0"/>
    <n v="10"/>
    <x v="1"/>
    <s v="No"/>
    <x v="1"/>
    <s v="Yes"/>
    <n v="20"/>
    <n v="15"/>
    <n v="15"/>
  </r>
  <r>
    <x v="174"/>
    <x v="171"/>
    <x v="1"/>
    <d v="2024-08-18T00:00:00"/>
    <x v="1"/>
    <n v="5"/>
    <x v="0"/>
    <s v="No"/>
    <x v="1"/>
    <s v="No"/>
    <n v="0"/>
    <n v="1"/>
    <n v="4"/>
  </r>
  <r>
    <x v="175"/>
    <x v="172"/>
    <x v="1"/>
    <d v="2024-08-19T00:00:00"/>
    <x v="0"/>
    <n v="5"/>
    <x v="0"/>
    <s v="No"/>
    <x v="1"/>
    <s v="No"/>
    <n v="0"/>
    <n v="0"/>
    <n v="5"/>
  </r>
  <r>
    <x v="176"/>
    <x v="173"/>
    <x v="0"/>
    <d v="2024-08-20T00:00:00"/>
    <x v="1"/>
    <n v="15"/>
    <x v="2"/>
    <s v="Yes"/>
    <x v="0"/>
    <s v="Yes"/>
    <n v="20"/>
    <n v="7"/>
    <n v="58"/>
  </r>
  <r>
    <x v="177"/>
    <x v="174"/>
    <x v="2"/>
    <d v="2024-08-21T00:00:00"/>
    <x v="0"/>
    <n v="10"/>
    <x v="1"/>
    <s v="No"/>
    <x v="1"/>
    <s v="Yes"/>
    <n v="20"/>
    <n v="10"/>
    <n v="20"/>
  </r>
  <r>
    <x v="178"/>
    <x v="175"/>
    <x v="1"/>
    <d v="2024-08-22T00:00:00"/>
    <x v="1"/>
    <n v="5"/>
    <x v="2"/>
    <s v="No"/>
    <x v="1"/>
    <s v="No"/>
    <n v="0"/>
    <n v="1"/>
    <n v="4"/>
  </r>
  <r>
    <x v="179"/>
    <x v="176"/>
    <x v="0"/>
    <d v="2024-08-23T00:00:00"/>
    <x v="0"/>
    <n v="15"/>
    <x v="0"/>
    <s v="Yes"/>
    <x v="0"/>
    <s v="Yes"/>
    <n v="20"/>
    <n v="15"/>
    <n v="50"/>
  </r>
  <r>
    <x v="180"/>
    <x v="177"/>
    <x v="2"/>
    <d v="2024-08-24T00:00:00"/>
    <x v="1"/>
    <n v="10"/>
    <x v="0"/>
    <s v="No"/>
    <x v="1"/>
    <s v="Yes"/>
    <n v="20"/>
    <n v="5"/>
    <n v="25"/>
  </r>
  <r>
    <x v="181"/>
    <x v="178"/>
    <x v="1"/>
    <d v="2024-08-25T00:00:00"/>
    <x v="0"/>
    <n v="5"/>
    <x v="1"/>
    <s v="No"/>
    <x v="1"/>
    <s v="No"/>
    <n v="0"/>
    <n v="0"/>
    <n v="5"/>
  </r>
  <r>
    <x v="182"/>
    <x v="179"/>
    <x v="0"/>
    <d v="2024-08-26T00:00:00"/>
    <x v="1"/>
    <n v="15"/>
    <x v="2"/>
    <s v="Yes"/>
    <x v="0"/>
    <s v="Yes"/>
    <n v="20"/>
    <n v="20"/>
    <n v="45"/>
  </r>
  <r>
    <x v="183"/>
    <x v="180"/>
    <x v="2"/>
    <d v="2024-08-27T00:00:00"/>
    <x v="0"/>
    <n v="10"/>
    <x v="2"/>
    <s v="No"/>
    <x v="1"/>
    <s v="Yes"/>
    <n v="20"/>
    <n v="12"/>
    <n v="18"/>
  </r>
  <r>
    <x v="184"/>
    <x v="181"/>
    <x v="1"/>
    <d v="2024-08-28T00:00:00"/>
    <x v="1"/>
    <n v="5"/>
    <x v="0"/>
    <s v="No"/>
    <x v="1"/>
    <s v="No"/>
    <n v="0"/>
    <n v="2"/>
    <n v="3"/>
  </r>
  <r>
    <x v="185"/>
    <x v="182"/>
    <x v="0"/>
    <d v="2024-08-29T00:00:00"/>
    <x v="0"/>
    <n v="15"/>
    <x v="1"/>
    <s v="Yes"/>
    <x v="0"/>
    <s v="Yes"/>
    <n v="20"/>
    <n v="5"/>
    <n v="60"/>
  </r>
  <r>
    <x v="186"/>
    <x v="183"/>
    <x v="2"/>
    <d v="2024-08-30T00:00:00"/>
    <x v="1"/>
    <n v="10"/>
    <x v="0"/>
    <s v="No"/>
    <x v="1"/>
    <s v="Yes"/>
    <n v="20"/>
    <n v="10"/>
    <n v="20"/>
  </r>
  <r>
    <x v="187"/>
    <x v="184"/>
    <x v="1"/>
    <d v="2024-08-31T00:00:00"/>
    <x v="0"/>
    <n v="5"/>
    <x v="2"/>
    <s v="No"/>
    <x v="1"/>
    <s v="No"/>
    <n v="0"/>
    <n v="0"/>
    <n v="5"/>
  </r>
  <r>
    <x v="188"/>
    <x v="185"/>
    <x v="0"/>
    <d v="2024-09-01T00:00:00"/>
    <x v="1"/>
    <n v="15"/>
    <x v="0"/>
    <s v="Yes"/>
    <x v="0"/>
    <s v="Yes"/>
    <n v="20"/>
    <n v="3"/>
    <n v="62"/>
  </r>
  <r>
    <x v="189"/>
    <x v="186"/>
    <x v="2"/>
    <d v="2024-09-02T00:00:00"/>
    <x v="0"/>
    <n v="10"/>
    <x v="1"/>
    <s v="No"/>
    <x v="1"/>
    <s v="Yes"/>
    <n v="20"/>
    <n v="15"/>
    <n v="15"/>
  </r>
  <r>
    <x v="190"/>
    <x v="15"/>
    <x v="1"/>
    <d v="2024-09-03T00:00:00"/>
    <x v="1"/>
    <n v="5"/>
    <x v="0"/>
    <s v="No"/>
    <x v="1"/>
    <s v="No"/>
    <n v="0"/>
    <n v="1"/>
    <n v="4"/>
  </r>
  <r>
    <x v="191"/>
    <x v="187"/>
    <x v="0"/>
    <d v="2024-09-04T00:00:00"/>
    <x v="0"/>
    <n v="15"/>
    <x v="2"/>
    <s v="Yes"/>
    <x v="0"/>
    <s v="Yes"/>
    <n v="20"/>
    <n v="7"/>
    <n v="58"/>
  </r>
  <r>
    <x v="192"/>
    <x v="188"/>
    <x v="2"/>
    <d v="2024-09-05T00:00:00"/>
    <x v="1"/>
    <n v="10"/>
    <x v="0"/>
    <s v="No"/>
    <x v="1"/>
    <s v="Yes"/>
    <n v="20"/>
    <n v="10"/>
    <n v="20"/>
  </r>
  <r>
    <x v="193"/>
    <x v="14"/>
    <x v="1"/>
    <d v="2024-09-06T00:00:00"/>
    <x v="0"/>
    <n v="5"/>
    <x v="1"/>
    <s v="No"/>
    <x v="1"/>
    <s v="No"/>
    <n v="0"/>
    <n v="0"/>
    <n v="5"/>
  </r>
  <r>
    <x v="194"/>
    <x v="189"/>
    <x v="0"/>
    <d v="2024-09-07T00:00:00"/>
    <x v="1"/>
    <n v="15"/>
    <x v="0"/>
    <s v="Yes"/>
    <x v="0"/>
    <s v="Yes"/>
    <n v="20"/>
    <n v="20"/>
    <n v="45"/>
  </r>
  <r>
    <x v="195"/>
    <x v="167"/>
    <x v="2"/>
    <d v="2024-09-08T00:00:00"/>
    <x v="0"/>
    <n v="10"/>
    <x v="2"/>
    <s v="No"/>
    <x v="1"/>
    <s v="Yes"/>
    <n v="20"/>
    <n v="15"/>
    <n v="15"/>
  </r>
  <r>
    <x v="196"/>
    <x v="190"/>
    <x v="1"/>
    <d v="2024-09-09T00:00:00"/>
    <x v="1"/>
    <n v="5"/>
    <x v="0"/>
    <s v="No"/>
    <x v="1"/>
    <s v="No"/>
    <n v="0"/>
    <n v="1"/>
    <n v="4"/>
  </r>
  <r>
    <x v="197"/>
    <x v="191"/>
    <x v="0"/>
    <d v="2024-09-10T00:00:00"/>
    <x v="0"/>
    <n v="15"/>
    <x v="1"/>
    <s v="Yes"/>
    <x v="0"/>
    <s v="Yes"/>
    <n v="20"/>
    <n v="3"/>
    <n v="62"/>
  </r>
  <r>
    <x v="198"/>
    <x v="192"/>
    <x v="2"/>
    <d v="2024-09-11T00:00:00"/>
    <x v="1"/>
    <n v="10"/>
    <x v="0"/>
    <s v="No"/>
    <x v="1"/>
    <s v="Yes"/>
    <n v="20"/>
    <n v="10"/>
    <n v="20"/>
  </r>
  <r>
    <x v="199"/>
    <x v="193"/>
    <x v="1"/>
    <d v="2024-09-12T00:00:00"/>
    <x v="0"/>
    <n v="5"/>
    <x v="2"/>
    <s v="No"/>
    <x v="1"/>
    <s v="No"/>
    <n v="0"/>
    <n v="0"/>
    <n v="5"/>
  </r>
  <r>
    <x v="200"/>
    <x v="194"/>
    <x v="0"/>
    <d v="2024-09-13T00:00:00"/>
    <x v="1"/>
    <n v="15"/>
    <x v="0"/>
    <s v="Yes"/>
    <x v="0"/>
    <s v="Yes"/>
    <n v="20"/>
    <n v="15"/>
    <n v="50"/>
  </r>
  <r>
    <x v="201"/>
    <x v="195"/>
    <x v="2"/>
    <d v="2024-09-14T00:00:00"/>
    <x v="0"/>
    <n v="10"/>
    <x v="1"/>
    <s v="No"/>
    <x v="1"/>
    <s v="Yes"/>
    <n v="20"/>
    <n v="15"/>
    <n v="15"/>
  </r>
  <r>
    <x v="202"/>
    <x v="196"/>
    <x v="1"/>
    <d v="2024-09-15T00:00:00"/>
    <x v="1"/>
    <n v="5"/>
    <x v="0"/>
    <s v="No"/>
    <x v="1"/>
    <s v="No"/>
    <n v="0"/>
    <n v="1"/>
    <n v="4"/>
  </r>
  <r>
    <x v="203"/>
    <x v="197"/>
    <x v="0"/>
    <d v="2024-09-16T00:00:00"/>
    <x v="0"/>
    <n v="15"/>
    <x v="2"/>
    <s v="Yes"/>
    <x v="0"/>
    <s v="Yes"/>
    <n v="20"/>
    <n v="7"/>
    <n v="58"/>
  </r>
  <r>
    <x v="204"/>
    <x v="198"/>
    <x v="2"/>
    <d v="2024-09-17T00:00:00"/>
    <x v="1"/>
    <n v="10"/>
    <x v="0"/>
    <s v="No"/>
    <x v="1"/>
    <s v="Yes"/>
    <n v="20"/>
    <n v="10"/>
    <n v="20"/>
  </r>
  <r>
    <x v="205"/>
    <x v="199"/>
    <x v="1"/>
    <d v="2024-09-18T00:00:00"/>
    <x v="0"/>
    <n v="5"/>
    <x v="0"/>
    <s v="No"/>
    <x v="1"/>
    <s v="No"/>
    <n v="0"/>
    <n v="0"/>
    <n v="5"/>
  </r>
  <r>
    <x v="206"/>
    <x v="200"/>
    <x v="0"/>
    <d v="2024-09-19T00:00:00"/>
    <x v="1"/>
    <n v="15"/>
    <x v="2"/>
    <s v="Yes"/>
    <x v="0"/>
    <s v="Yes"/>
    <n v="20"/>
    <n v="7"/>
    <n v="58"/>
  </r>
  <r>
    <x v="207"/>
    <x v="201"/>
    <x v="2"/>
    <d v="2024-09-20T00:00:00"/>
    <x v="0"/>
    <n v="10"/>
    <x v="1"/>
    <s v="No"/>
    <x v="1"/>
    <s v="Yes"/>
    <n v="20"/>
    <n v="10"/>
    <n v="20"/>
  </r>
  <r>
    <x v="208"/>
    <x v="202"/>
    <x v="1"/>
    <d v="2024-09-21T00:00:00"/>
    <x v="1"/>
    <n v="5"/>
    <x v="2"/>
    <s v="No"/>
    <x v="1"/>
    <s v="No"/>
    <n v="0"/>
    <n v="1"/>
    <n v="4"/>
  </r>
  <r>
    <x v="209"/>
    <x v="203"/>
    <x v="0"/>
    <d v="2024-09-22T00:00:00"/>
    <x v="0"/>
    <n v="15"/>
    <x v="0"/>
    <s v="Yes"/>
    <x v="0"/>
    <s v="Yes"/>
    <n v="20"/>
    <n v="15"/>
    <n v="50"/>
  </r>
  <r>
    <x v="210"/>
    <x v="204"/>
    <x v="2"/>
    <d v="2024-09-23T00:00:00"/>
    <x v="1"/>
    <n v="10"/>
    <x v="0"/>
    <s v="No"/>
    <x v="1"/>
    <s v="Yes"/>
    <n v="20"/>
    <n v="5"/>
    <n v="25"/>
  </r>
  <r>
    <x v="211"/>
    <x v="205"/>
    <x v="1"/>
    <d v="2024-09-24T00:00:00"/>
    <x v="0"/>
    <n v="5"/>
    <x v="1"/>
    <s v="No"/>
    <x v="1"/>
    <s v="No"/>
    <n v="0"/>
    <n v="0"/>
    <n v="5"/>
  </r>
  <r>
    <x v="212"/>
    <x v="206"/>
    <x v="0"/>
    <d v="2024-09-25T00:00:00"/>
    <x v="1"/>
    <n v="15"/>
    <x v="2"/>
    <s v="Yes"/>
    <x v="0"/>
    <s v="Yes"/>
    <n v="20"/>
    <n v="20"/>
    <n v="45"/>
  </r>
  <r>
    <x v="213"/>
    <x v="207"/>
    <x v="2"/>
    <d v="2024-09-26T00:00:00"/>
    <x v="0"/>
    <n v="10"/>
    <x v="2"/>
    <s v="No"/>
    <x v="1"/>
    <s v="Yes"/>
    <n v="20"/>
    <n v="12"/>
    <n v="18"/>
  </r>
  <r>
    <x v="214"/>
    <x v="37"/>
    <x v="1"/>
    <d v="2024-09-27T00:00:00"/>
    <x v="1"/>
    <n v="5"/>
    <x v="0"/>
    <s v="No"/>
    <x v="1"/>
    <s v="No"/>
    <n v="0"/>
    <n v="2"/>
    <n v="3"/>
  </r>
  <r>
    <x v="215"/>
    <x v="208"/>
    <x v="0"/>
    <d v="2024-09-28T00:00:00"/>
    <x v="0"/>
    <n v="15"/>
    <x v="1"/>
    <s v="Yes"/>
    <x v="0"/>
    <s v="Yes"/>
    <n v="20"/>
    <n v="5"/>
    <n v="60"/>
  </r>
  <r>
    <x v="216"/>
    <x v="209"/>
    <x v="2"/>
    <d v="2024-09-29T00:00:00"/>
    <x v="1"/>
    <n v="10"/>
    <x v="0"/>
    <s v="No"/>
    <x v="1"/>
    <s v="Yes"/>
    <n v="20"/>
    <n v="10"/>
    <n v="20"/>
  </r>
  <r>
    <x v="217"/>
    <x v="210"/>
    <x v="1"/>
    <d v="2024-09-30T00:00:00"/>
    <x v="0"/>
    <n v="5"/>
    <x v="2"/>
    <s v="No"/>
    <x v="1"/>
    <s v="No"/>
    <n v="0"/>
    <n v="0"/>
    <n v="5"/>
  </r>
  <r>
    <x v="218"/>
    <x v="211"/>
    <x v="0"/>
    <d v="2024-10-01T00:00:00"/>
    <x v="1"/>
    <n v="15"/>
    <x v="0"/>
    <s v="Yes"/>
    <x v="0"/>
    <s v="Yes"/>
    <n v="20"/>
    <n v="3"/>
    <n v="62"/>
  </r>
  <r>
    <x v="219"/>
    <x v="212"/>
    <x v="2"/>
    <d v="2024-10-02T00:00:00"/>
    <x v="0"/>
    <n v="10"/>
    <x v="1"/>
    <s v="No"/>
    <x v="1"/>
    <s v="Yes"/>
    <n v="20"/>
    <n v="15"/>
    <n v="15"/>
  </r>
  <r>
    <x v="220"/>
    <x v="213"/>
    <x v="1"/>
    <d v="2024-10-03T00:00:00"/>
    <x v="1"/>
    <n v="5"/>
    <x v="0"/>
    <s v="No"/>
    <x v="1"/>
    <s v="No"/>
    <n v="0"/>
    <n v="1"/>
    <n v="4"/>
  </r>
  <r>
    <x v="221"/>
    <x v="191"/>
    <x v="0"/>
    <d v="2024-10-04T00:00:00"/>
    <x v="0"/>
    <n v="15"/>
    <x v="2"/>
    <s v="Yes"/>
    <x v="0"/>
    <s v="Yes"/>
    <n v="20"/>
    <n v="7"/>
    <n v="58"/>
  </r>
  <r>
    <x v="222"/>
    <x v="45"/>
    <x v="2"/>
    <d v="2024-10-05T00:00:00"/>
    <x v="1"/>
    <n v="10"/>
    <x v="0"/>
    <s v="No"/>
    <x v="1"/>
    <s v="Yes"/>
    <n v="20"/>
    <n v="10"/>
    <n v="20"/>
  </r>
  <r>
    <x v="223"/>
    <x v="214"/>
    <x v="1"/>
    <d v="2024-10-06T00:00:00"/>
    <x v="0"/>
    <n v="5"/>
    <x v="1"/>
    <s v="No"/>
    <x v="1"/>
    <s v="No"/>
    <n v="0"/>
    <n v="0"/>
    <n v="5"/>
  </r>
  <r>
    <x v="224"/>
    <x v="215"/>
    <x v="0"/>
    <d v="2024-10-07T00:00:00"/>
    <x v="1"/>
    <n v="15"/>
    <x v="0"/>
    <s v="Yes"/>
    <x v="0"/>
    <s v="Yes"/>
    <n v="20"/>
    <n v="20"/>
    <n v="45"/>
  </r>
  <r>
    <x v="225"/>
    <x v="216"/>
    <x v="2"/>
    <d v="2024-10-08T00:00:00"/>
    <x v="0"/>
    <n v="10"/>
    <x v="2"/>
    <s v="No"/>
    <x v="1"/>
    <s v="Yes"/>
    <n v="20"/>
    <n v="15"/>
    <n v="15"/>
  </r>
  <r>
    <x v="226"/>
    <x v="217"/>
    <x v="1"/>
    <d v="2024-10-09T00:00:00"/>
    <x v="1"/>
    <n v="5"/>
    <x v="0"/>
    <s v="No"/>
    <x v="1"/>
    <s v="No"/>
    <n v="0"/>
    <n v="1"/>
    <n v="4"/>
  </r>
  <r>
    <x v="227"/>
    <x v="218"/>
    <x v="0"/>
    <d v="2024-10-10T00:00:00"/>
    <x v="0"/>
    <n v="15"/>
    <x v="1"/>
    <s v="Yes"/>
    <x v="0"/>
    <s v="Yes"/>
    <n v="20"/>
    <n v="3"/>
    <n v="62"/>
  </r>
  <r>
    <x v="228"/>
    <x v="219"/>
    <x v="2"/>
    <d v="2024-10-11T00:00:00"/>
    <x v="1"/>
    <n v="10"/>
    <x v="0"/>
    <s v="No"/>
    <x v="1"/>
    <s v="Yes"/>
    <n v="20"/>
    <n v="10"/>
    <n v="20"/>
  </r>
  <r>
    <x v="229"/>
    <x v="127"/>
    <x v="1"/>
    <d v="2024-10-12T00:00:00"/>
    <x v="0"/>
    <n v="5"/>
    <x v="2"/>
    <s v="No"/>
    <x v="1"/>
    <s v="No"/>
    <n v="0"/>
    <n v="0"/>
    <n v="5"/>
  </r>
  <r>
    <x v="230"/>
    <x v="220"/>
    <x v="0"/>
    <d v="2024-10-13T00:00:00"/>
    <x v="1"/>
    <n v="15"/>
    <x v="0"/>
    <s v="Yes"/>
    <x v="0"/>
    <s v="Yes"/>
    <n v="20"/>
    <n v="15"/>
    <n v="50"/>
  </r>
  <r>
    <x v="231"/>
    <x v="221"/>
    <x v="2"/>
    <d v="2024-10-14T00:00:00"/>
    <x v="0"/>
    <n v="10"/>
    <x v="1"/>
    <s v="No"/>
    <x v="1"/>
    <s v="Yes"/>
    <n v="20"/>
    <n v="15"/>
    <n v="15"/>
  </r>
  <r>
    <x v="232"/>
    <x v="222"/>
    <x v="1"/>
    <d v="2024-10-15T00:00:00"/>
    <x v="1"/>
    <n v="5"/>
    <x v="0"/>
    <s v="No"/>
    <x v="1"/>
    <s v="No"/>
    <n v="0"/>
    <n v="1"/>
    <n v="4"/>
  </r>
  <r>
    <x v="233"/>
    <x v="223"/>
    <x v="0"/>
    <d v="2024-10-16T00:00:00"/>
    <x v="0"/>
    <n v="15"/>
    <x v="2"/>
    <s v="Yes"/>
    <x v="0"/>
    <s v="Yes"/>
    <n v="20"/>
    <n v="7"/>
    <n v="58"/>
  </r>
  <r>
    <x v="234"/>
    <x v="224"/>
    <x v="2"/>
    <d v="2024-10-17T00:00:00"/>
    <x v="1"/>
    <n v="10"/>
    <x v="0"/>
    <s v="No"/>
    <x v="1"/>
    <s v="Yes"/>
    <n v="20"/>
    <n v="10"/>
    <n v="20"/>
  </r>
  <r>
    <x v="235"/>
    <x v="225"/>
    <x v="1"/>
    <d v="2024-10-18T00:00:00"/>
    <x v="0"/>
    <n v="5"/>
    <x v="1"/>
    <s v="No"/>
    <x v="1"/>
    <s v="No"/>
    <n v="0"/>
    <n v="0"/>
    <n v="5"/>
  </r>
  <r>
    <x v="236"/>
    <x v="226"/>
    <x v="0"/>
    <d v="2024-10-19T00:00:00"/>
    <x v="1"/>
    <n v="15"/>
    <x v="0"/>
    <s v="Yes"/>
    <x v="0"/>
    <s v="Yes"/>
    <n v="20"/>
    <n v="15"/>
    <n v="50"/>
  </r>
  <r>
    <x v="237"/>
    <x v="227"/>
    <x v="2"/>
    <d v="2024-10-20T00:00:00"/>
    <x v="0"/>
    <n v="10"/>
    <x v="2"/>
    <s v="No"/>
    <x v="1"/>
    <s v="Yes"/>
    <n v="20"/>
    <n v="12"/>
    <n v="18"/>
  </r>
  <r>
    <x v="238"/>
    <x v="228"/>
    <x v="1"/>
    <d v="2024-10-21T00:00:00"/>
    <x v="1"/>
    <n v="5"/>
    <x v="0"/>
    <s v="No"/>
    <x v="1"/>
    <s v="No"/>
    <n v="0"/>
    <n v="2"/>
    <n v="3"/>
  </r>
  <r>
    <x v="239"/>
    <x v="229"/>
    <x v="0"/>
    <d v="2024-10-22T00:00:00"/>
    <x v="0"/>
    <n v="15"/>
    <x v="1"/>
    <s v="Yes"/>
    <x v="0"/>
    <s v="Yes"/>
    <n v="20"/>
    <n v="5"/>
    <n v="60"/>
  </r>
  <r>
    <x v="240"/>
    <x v="230"/>
    <x v="2"/>
    <d v="2024-10-23T00:00:00"/>
    <x v="1"/>
    <n v="10"/>
    <x v="0"/>
    <s v="No"/>
    <x v="1"/>
    <s v="Yes"/>
    <n v="20"/>
    <n v="10"/>
    <n v="20"/>
  </r>
  <r>
    <x v="241"/>
    <x v="231"/>
    <x v="1"/>
    <d v="2024-10-24T00:00:00"/>
    <x v="0"/>
    <n v="5"/>
    <x v="2"/>
    <s v="No"/>
    <x v="1"/>
    <s v="No"/>
    <n v="0"/>
    <n v="0"/>
    <n v="5"/>
  </r>
  <r>
    <x v="242"/>
    <x v="140"/>
    <x v="0"/>
    <d v="2024-10-25T00:00:00"/>
    <x v="1"/>
    <n v="15"/>
    <x v="0"/>
    <s v="Yes"/>
    <x v="0"/>
    <s v="Yes"/>
    <n v="20"/>
    <n v="3"/>
    <n v="62"/>
  </r>
  <r>
    <x v="243"/>
    <x v="232"/>
    <x v="2"/>
    <d v="2024-10-26T00:00:00"/>
    <x v="0"/>
    <n v="10"/>
    <x v="1"/>
    <s v="No"/>
    <x v="1"/>
    <s v="Yes"/>
    <n v="20"/>
    <n v="15"/>
    <n v="15"/>
  </r>
  <r>
    <x v="244"/>
    <x v="233"/>
    <x v="1"/>
    <d v="2024-10-27T00:00:00"/>
    <x v="1"/>
    <n v="5"/>
    <x v="0"/>
    <s v="No"/>
    <x v="1"/>
    <s v="No"/>
    <n v="0"/>
    <n v="1"/>
    <n v="4"/>
  </r>
  <r>
    <x v="245"/>
    <x v="234"/>
    <x v="0"/>
    <d v="2024-10-28T00:00:00"/>
    <x v="0"/>
    <n v="15"/>
    <x v="2"/>
    <s v="Yes"/>
    <x v="0"/>
    <s v="Yes"/>
    <n v="20"/>
    <n v="7"/>
    <n v="58"/>
  </r>
  <r>
    <x v="246"/>
    <x v="235"/>
    <x v="2"/>
    <d v="2024-10-29T00:00:00"/>
    <x v="1"/>
    <n v="10"/>
    <x v="0"/>
    <s v="No"/>
    <x v="1"/>
    <s v="Yes"/>
    <n v="20"/>
    <n v="10"/>
    <n v="20"/>
  </r>
  <r>
    <x v="247"/>
    <x v="236"/>
    <x v="1"/>
    <d v="2024-10-30T00:00:00"/>
    <x v="0"/>
    <n v="5"/>
    <x v="1"/>
    <s v="No"/>
    <x v="1"/>
    <s v="No"/>
    <n v="0"/>
    <n v="0"/>
    <n v="5"/>
  </r>
  <r>
    <x v="248"/>
    <x v="237"/>
    <x v="0"/>
    <d v="2024-10-31T00:00:00"/>
    <x v="1"/>
    <n v="15"/>
    <x v="0"/>
    <s v="Yes"/>
    <x v="0"/>
    <s v="Yes"/>
    <n v="20"/>
    <n v="20"/>
    <n v="45"/>
  </r>
  <r>
    <x v="249"/>
    <x v="238"/>
    <x v="2"/>
    <d v="2024-11-01T00:00:00"/>
    <x v="0"/>
    <n v="10"/>
    <x v="2"/>
    <s v="No"/>
    <x v="1"/>
    <s v="Yes"/>
    <n v="20"/>
    <n v="15"/>
    <n v="15"/>
  </r>
  <r>
    <x v="250"/>
    <x v="239"/>
    <x v="1"/>
    <d v="2024-11-02T00:00:00"/>
    <x v="1"/>
    <n v="5"/>
    <x v="0"/>
    <s v="No"/>
    <x v="1"/>
    <s v="No"/>
    <n v="0"/>
    <n v="1"/>
    <n v="4"/>
  </r>
  <r>
    <x v="251"/>
    <x v="240"/>
    <x v="0"/>
    <d v="2024-11-03T00:00:00"/>
    <x v="0"/>
    <n v="15"/>
    <x v="1"/>
    <s v="Yes"/>
    <x v="0"/>
    <s v="Yes"/>
    <n v="20"/>
    <n v="3"/>
    <n v="62"/>
  </r>
  <r>
    <x v="252"/>
    <x v="241"/>
    <x v="2"/>
    <d v="2024-11-04T00:00:00"/>
    <x v="1"/>
    <n v="10"/>
    <x v="0"/>
    <s v="No"/>
    <x v="1"/>
    <s v="Yes"/>
    <n v="20"/>
    <n v="10"/>
    <n v="20"/>
  </r>
  <r>
    <x v="253"/>
    <x v="242"/>
    <x v="1"/>
    <d v="2024-11-05T00:00:00"/>
    <x v="0"/>
    <n v="5"/>
    <x v="2"/>
    <s v="No"/>
    <x v="1"/>
    <s v="No"/>
    <n v="0"/>
    <n v="0"/>
    <n v="5"/>
  </r>
  <r>
    <x v="254"/>
    <x v="243"/>
    <x v="0"/>
    <d v="2024-11-06T00:00:00"/>
    <x v="1"/>
    <n v="15"/>
    <x v="0"/>
    <s v="Yes"/>
    <x v="0"/>
    <s v="Yes"/>
    <n v="20"/>
    <n v="15"/>
    <n v="50"/>
  </r>
  <r>
    <x v="255"/>
    <x v="244"/>
    <x v="1"/>
    <d v="2024-11-07T00:00:00"/>
    <x v="0"/>
    <n v="5"/>
    <x v="0"/>
    <s v="No"/>
    <x v="1"/>
    <s v="No"/>
    <n v="0"/>
    <n v="0"/>
    <n v="5"/>
  </r>
  <r>
    <x v="256"/>
    <x v="245"/>
    <x v="0"/>
    <d v="2024-11-08T00:00:00"/>
    <x v="1"/>
    <n v="15"/>
    <x v="2"/>
    <s v="Yes"/>
    <x v="0"/>
    <s v="Yes"/>
    <n v="20"/>
    <n v="7"/>
    <n v="58"/>
  </r>
  <r>
    <x v="257"/>
    <x v="246"/>
    <x v="2"/>
    <d v="2024-11-09T00:00:00"/>
    <x v="0"/>
    <n v="10"/>
    <x v="1"/>
    <s v="No"/>
    <x v="1"/>
    <s v="Yes"/>
    <n v="20"/>
    <n v="10"/>
    <n v="20"/>
  </r>
  <r>
    <x v="258"/>
    <x v="247"/>
    <x v="1"/>
    <d v="2024-11-10T00:00:00"/>
    <x v="1"/>
    <n v="5"/>
    <x v="2"/>
    <s v="No"/>
    <x v="1"/>
    <s v="No"/>
    <n v="0"/>
    <n v="1"/>
    <n v="4"/>
  </r>
  <r>
    <x v="259"/>
    <x v="248"/>
    <x v="0"/>
    <d v="2024-11-11T00:00:00"/>
    <x v="0"/>
    <n v="15"/>
    <x v="0"/>
    <s v="Yes"/>
    <x v="0"/>
    <s v="Yes"/>
    <n v="20"/>
    <n v="15"/>
    <n v="50"/>
  </r>
  <r>
    <x v="260"/>
    <x v="249"/>
    <x v="2"/>
    <d v="2024-11-12T00:00:00"/>
    <x v="1"/>
    <n v="10"/>
    <x v="0"/>
    <s v="No"/>
    <x v="1"/>
    <s v="Yes"/>
    <n v="20"/>
    <n v="5"/>
    <n v="25"/>
  </r>
  <r>
    <x v="261"/>
    <x v="250"/>
    <x v="1"/>
    <d v="2024-11-13T00:00:00"/>
    <x v="0"/>
    <n v="5"/>
    <x v="1"/>
    <s v="No"/>
    <x v="1"/>
    <s v="No"/>
    <n v="0"/>
    <n v="0"/>
    <n v="5"/>
  </r>
  <r>
    <x v="262"/>
    <x v="251"/>
    <x v="0"/>
    <d v="2024-11-14T00:00:00"/>
    <x v="1"/>
    <n v="15"/>
    <x v="2"/>
    <s v="Yes"/>
    <x v="0"/>
    <s v="Yes"/>
    <n v="20"/>
    <n v="20"/>
    <n v="45"/>
  </r>
  <r>
    <x v="263"/>
    <x v="252"/>
    <x v="2"/>
    <d v="2024-11-15T00:00:00"/>
    <x v="0"/>
    <n v="10"/>
    <x v="2"/>
    <s v="No"/>
    <x v="1"/>
    <s v="Yes"/>
    <n v="20"/>
    <n v="12"/>
    <n v="18"/>
  </r>
  <r>
    <x v="264"/>
    <x v="253"/>
    <x v="1"/>
    <d v="2024-11-16T00:00:00"/>
    <x v="1"/>
    <n v="5"/>
    <x v="0"/>
    <s v="No"/>
    <x v="1"/>
    <s v="No"/>
    <n v="0"/>
    <n v="2"/>
    <n v="3"/>
  </r>
  <r>
    <x v="265"/>
    <x v="254"/>
    <x v="0"/>
    <d v="2024-11-17T00:00:00"/>
    <x v="0"/>
    <n v="15"/>
    <x v="1"/>
    <s v="Yes"/>
    <x v="0"/>
    <s v="Yes"/>
    <n v="20"/>
    <n v="5"/>
    <n v="60"/>
  </r>
  <r>
    <x v="266"/>
    <x v="255"/>
    <x v="2"/>
    <d v="2024-11-18T00:00:00"/>
    <x v="1"/>
    <n v="10"/>
    <x v="0"/>
    <s v="No"/>
    <x v="1"/>
    <s v="Yes"/>
    <n v="20"/>
    <n v="10"/>
    <n v="20"/>
  </r>
  <r>
    <x v="267"/>
    <x v="256"/>
    <x v="1"/>
    <d v="2024-11-19T00:00:00"/>
    <x v="0"/>
    <n v="5"/>
    <x v="2"/>
    <s v="No"/>
    <x v="1"/>
    <s v="No"/>
    <n v="0"/>
    <n v="0"/>
    <n v="5"/>
  </r>
  <r>
    <x v="268"/>
    <x v="257"/>
    <x v="0"/>
    <d v="2024-11-20T00:00:00"/>
    <x v="1"/>
    <n v="15"/>
    <x v="0"/>
    <s v="Yes"/>
    <x v="0"/>
    <s v="Yes"/>
    <n v="20"/>
    <n v="3"/>
    <n v="62"/>
  </r>
  <r>
    <x v="269"/>
    <x v="258"/>
    <x v="2"/>
    <d v="2024-11-21T00:00:00"/>
    <x v="0"/>
    <n v="10"/>
    <x v="1"/>
    <s v="No"/>
    <x v="1"/>
    <s v="Yes"/>
    <n v="20"/>
    <n v="15"/>
    <n v="15"/>
  </r>
  <r>
    <x v="270"/>
    <x v="259"/>
    <x v="1"/>
    <d v="2024-11-22T00:00:00"/>
    <x v="1"/>
    <n v="5"/>
    <x v="0"/>
    <s v="No"/>
    <x v="1"/>
    <s v="No"/>
    <n v="0"/>
    <n v="1"/>
    <n v="4"/>
  </r>
  <r>
    <x v="271"/>
    <x v="260"/>
    <x v="0"/>
    <d v="2024-11-23T00:00:00"/>
    <x v="0"/>
    <n v="15"/>
    <x v="2"/>
    <s v="Yes"/>
    <x v="0"/>
    <s v="Yes"/>
    <n v="20"/>
    <n v="7"/>
    <n v="58"/>
  </r>
  <r>
    <x v="272"/>
    <x v="119"/>
    <x v="2"/>
    <d v="2024-11-24T00:00:00"/>
    <x v="1"/>
    <n v="10"/>
    <x v="0"/>
    <s v="No"/>
    <x v="1"/>
    <s v="Yes"/>
    <n v="20"/>
    <n v="10"/>
    <n v="20"/>
  </r>
  <r>
    <x v="273"/>
    <x v="261"/>
    <x v="1"/>
    <d v="2024-11-25T00:00:00"/>
    <x v="0"/>
    <n v="5"/>
    <x v="1"/>
    <s v="No"/>
    <x v="1"/>
    <s v="No"/>
    <n v="0"/>
    <n v="0"/>
    <n v="5"/>
  </r>
  <r>
    <x v="274"/>
    <x v="262"/>
    <x v="0"/>
    <d v="2024-11-26T00:00:00"/>
    <x v="1"/>
    <n v="15"/>
    <x v="0"/>
    <s v="Yes"/>
    <x v="0"/>
    <s v="Yes"/>
    <n v="20"/>
    <n v="20"/>
    <n v="45"/>
  </r>
  <r>
    <x v="275"/>
    <x v="263"/>
    <x v="2"/>
    <d v="2024-11-27T00:00:00"/>
    <x v="0"/>
    <n v="10"/>
    <x v="2"/>
    <s v="No"/>
    <x v="1"/>
    <s v="Yes"/>
    <n v="20"/>
    <n v="15"/>
    <n v="15"/>
  </r>
  <r>
    <x v="276"/>
    <x v="264"/>
    <x v="1"/>
    <d v="2024-11-28T00:00:00"/>
    <x v="1"/>
    <n v="5"/>
    <x v="0"/>
    <s v="No"/>
    <x v="1"/>
    <s v="No"/>
    <n v="0"/>
    <n v="1"/>
    <n v="4"/>
  </r>
  <r>
    <x v="277"/>
    <x v="265"/>
    <x v="0"/>
    <d v="2024-11-29T00:00:00"/>
    <x v="0"/>
    <n v="15"/>
    <x v="1"/>
    <s v="Yes"/>
    <x v="0"/>
    <s v="Yes"/>
    <n v="20"/>
    <n v="3"/>
    <n v="62"/>
  </r>
  <r>
    <x v="278"/>
    <x v="266"/>
    <x v="2"/>
    <d v="2024-11-30T00:00:00"/>
    <x v="1"/>
    <n v="10"/>
    <x v="0"/>
    <s v="No"/>
    <x v="1"/>
    <s v="Yes"/>
    <n v="20"/>
    <n v="10"/>
    <n v="20"/>
  </r>
  <r>
    <x v="279"/>
    <x v="267"/>
    <x v="1"/>
    <d v="2024-12-01T00:00:00"/>
    <x v="0"/>
    <n v="5"/>
    <x v="2"/>
    <s v="No"/>
    <x v="1"/>
    <s v="No"/>
    <n v="0"/>
    <n v="0"/>
    <n v="5"/>
  </r>
  <r>
    <x v="280"/>
    <x v="268"/>
    <x v="0"/>
    <d v="2024-12-02T00:00:00"/>
    <x v="1"/>
    <n v="15"/>
    <x v="0"/>
    <s v="Yes"/>
    <x v="0"/>
    <s v="Yes"/>
    <n v="20"/>
    <n v="15"/>
    <n v="50"/>
  </r>
  <r>
    <x v="281"/>
    <x v="269"/>
    <x v="2"/>
    <d v="2024-12-03T00:00:00"/>
    <x v="0"/>
    <n v="10"/>
    <x v="1"/>
    <s v="No"/>
    <x v="1"/>
    <s v="Yes"/>
    <n v="20"/>
    <n v="15"/>
    <n v="15"/>
  </r>
  <r>
    <x v="282"/>
    <x v="270"/>
    <x v="1"/>
    <d v="2024-12-04T00:00:00"/>
    <x v="1"/>
    <n v="5"/>
    <x v="0"/>
    <s v="No"/>
    <x v="1"/>
    <s v="No"/>
    <n v="0"/>
    <n v="1"/>
    <n v="4"/>
  </r>
  <r>
    <x v="283"/>
    <x v="271"/>
    <x v="0"/>
    <d v="2024-12-05T00:00:00"/>
    <x v="0"/>
    <n v="15"/>
    <x v="2"/>
    <s v="Yes"/>
    <x v="0"/>
    <s v="Yes"/>
    <n v="20"/>
    <n v="7"/>
    <n v="58"/>
  </r>
  <r>
    <x v="284"/>
    <x v="130"/>
    <x v="2"/>
    <d v="2024-12-06T00:00:00"/>
    <x v="1"/>
    <n v="10"/>
    <x v="0"/>
    <s v="No"/>
    <x v="1"/>
    <s v="Yes"/>
    <n v="20"/>
    <n v="10"/>
    <n v="20"/>
  </r>
  <r>
    <x v="285"/>
    <x v="131"/>
    <x v="1"/>
    <d v="2024-12-07T00:00:00"/>
    <x v="0"/>
    <n v="5"/>
    <x v="1"/>
    <s v="No"/>
    <x v="1"/>
    <s v="No"/>
    <n v="0"/>
    <n v="0"/>
    <n v="5"/>
  </r>
  <r>
    <x v="286"/>
    <x v="181"/>
    <x v="0"/>
    <d v="2024-12-08T00:00:00"/>
    <x v="1"/>
    <n v="15"/>
    <x v="0"/>
    <s v="Yes"/>
    <x v="0"/>
    <s v="Yes"/>
    <n v="20"/>
    <n v="20"/>
    <n v="45"/>
  </r>
  <r>
    <x v="287"/>
    <x v="272"/>
    <x v="2"/>
    <d v="2024-12-09T00:00:00"/>
    <x v="0"/>
    <n v="10"/>
    <x v="2"/>
    <s v="No"/>
    <x v="1"/>
    <s v="Yes"/>
    <n v="20"/>
    <n v="12"/>
    <n v="18"/>
  </r>
  <r>
    <x v="288"/>
    <x v="273"/>
    <x v="1"/>
    <d v="2024-12-10T00:00:00"/>
    <x v="1"/>
    <n v="5"/>
    <x v="0"/>
    <s v="No"/>
    <x v="1"/>
    <s v="No"/>
    <n v="0"/>
    <n v="2"/>
    <n v="3"/>
  </r>
  <r>
    <x v="289"/>
    <x v="274"/>
    <x v="0"/>
    <d v="2024-12-11T00:00:00"/>
    <x v="0"/>
    <n v="15"/>
    <x v="1"/>
    <s v="Yes"/>
    <x v="0"/>
    <s v="Yes"/>
    <n v="20"/>
    <n v="5"/>
    <n v="60"/>
  </r>
  <r>
    <x v="290"/>
    <x v="275"/>
    <x v="2"/>
    <d v="2024-12-12T00:00:00"/>
    <x v="1"/>
    <n v="10"/>
    <x v="0"/>
    <s v="No"/>
    <x v="1"/>
    <s v="Yes"/>
    <n v="20"/>
    <n v="10"/>
    <n v="20"/>
  </r>
  <r>
    <x v="291"/>
    <x v="276"/>
    <x v="1"/>
    <d v="2024-12-13T00:00:00"/>
    <x v="0"/>
    <n v="5"/>
    <x v="2"/>
    <s v="No"/>
    <x v="1"/>
    <s v="No"/>
    <n v="0"/>
    <n v="0"/>
    <n v="5"/>
  </r>
  <r>
    <x v="292"/>
    <x v="277"/>
    <x v="0"/>
    <d v="2024-12-14T00:00:00"/>
    <x v="1"/>
    <n v="15"/>
    <x v="0"/>
    <s v="Yes"/>
    <x v="0"/>
    <s v="Yes"/>
    <n v="20"/>
    <n v="3"/>
    <n v="62"/>
  </r>
  <r>
    <x v="293"/>
    <x v="278"/>
    <x v="2"/>
    <d v="2024-12-15T00:00:00"/>
    <x v="0"/>
    <n v="10"/>
    <x v="1"/>
    <s v="No"/>
    <x v="1"/>
    <s v="Yes"/>
    <n v="20"/>
    <n v="15"/>
    <n v="15"/>
  </r>
  <r>
    <x v="294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FEF7C8-7162-4091-9DC0-DE42C9B6C98C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B43:C47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 s="1"/>
        <i x="0"/>
        <i x="2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1" xr10:uid="{2C03F7FE-06F9-4D20-89B3-A481F4BCACE7}" sourceName="Subscription Type">
  <pivotTables>
    <pivotTable tabId="3" name="Tabela dinâmica1"/>
  </pivotTables>
  <data>
    <tabular pivotCacheId="176595658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  <slicer name="Subscription Type 1" xr10:uid="{6BABE756-155C-42C5-9691-85B2F12C5461}" cache="SegmentaçãodeDados_Subscription_Type1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2">
      <filters>
        <filter val="Core"/>
      </filters>
    </filterColumn>
    <filterColumn colId="6">
      <filters>
        <filter val="Annual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3" zoomScaleNormal="100" workbookViewId="0">
      <selection activeCell="E36" sqref="E3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85" zoomScale="90" zoomScaleNormal="90" workbookViewId="0">
      <selection activeCell="G3" sqref="G3:G275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hidden="1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hidden="1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hidden="1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hidden="1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hidden="1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hidden="1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hidden="1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hidden="1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hidden="1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hidden="1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hidden="1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hidden="1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hidden="1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hidden="1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hidden="1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hidden="1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hidden="1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hidden="1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hidden="1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hidden="1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hidden="1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hidden="1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hidden="1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hidden="1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hidden="1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hidden="1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hidden="1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hidden="1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hidden="1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hidden="1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hidden="1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hidden="1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hidden="1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hidden="1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hidden="1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hidden="1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hidden="1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hidden="1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hidden="1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hidden="1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hidden="1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hidden="1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hidden="1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hidden="1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hidden="1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hidden="1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hidden="1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hidden="1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hidden="1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hidden="1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hidden="1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hidden="1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hidden="1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hidden="1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hidden="1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hidden="1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hidden="1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hidden="1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hidden="1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hidden="1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hidden="1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hidden="1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hidden="1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hidden="1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hidden="1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hidden="1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hidden="1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hidden="1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hidden="1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hidden="1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hidden="1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hidden="1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hidden="1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hidden="1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hidden="1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hidden="1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hidden="1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hidden="1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hidden="1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hidden="1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hidden="1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hidden="1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hidden="1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hidden="1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hidden="1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hidden="1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hidden="1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hidden="1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hidden="1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hidden="1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hidden="1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hidden="1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hidden="1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hidden="1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hidden="1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hidden="1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hidden="1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hidden="1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50"/>
  <sheetViews>
    <sheetView showGridLines="0" topLeftCell="A37" workbookViewId="0">
      <selection activeCell="C58" sqref="C58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 x14ac:dyDescent="0.25">
      <c r="B3" s="19" t="s">
        <v>317</v>
      </c>
      <c r="C3" s="19"/>
      <c r="D3" s="19"/>
      <c r="E3" s="19"/>
      <c r="F3" s="19"/>
    </row>
    <row r="6" spans="2:6" x14ac:dyDescent="0.25">
      <c r="B6" t="s">
        <v>318</v>
      </c>
    </row>
    <row r="7" spans="2:6" x14ac:dyDescent="0.25">
      <c r="B7" t="s">
        <v>320</v>
      </c>
    </row>
    <row r="9" spans="2:6" x14ac:dyDescent="0.25">
      <c r="B9" s="12" t="s">
        <v>16</v>
      </c>
      <c r="C9" t="s">
        <v>24</v>
      </c>
    </row>
    <row r="11" spans="2:6" x14ac:dyDescent="0.25">
      <c r="B11" s="12" t="s">
        <v>309</v>
      </c>
      <c r="C11" t="s">
        <v>319</v>
      </c>
    </row>
    <row r="12" spans="2:6" x14ac:dyDescent="0.25">
      <c r="B12" s="14" t="s">
        <v>23</v>
      </c>
      <c r="C12" s="13">
        <v>217</v>
      </c>
    </row>
    <row r="13" spans="2:6" x14ac:dyDescent="0.25">
      <c r="B13" s="14" t="s">
        <v>19</v>
      </c>
      <c r="C13" s="13">
        <v>1537</v>
      </c>
    </row>
    <row r="14" spans="2:6" x14ac:dyDescent="0.25">
      <c r="B14" s="14" t="s">
        <v>310</v>
      </c>
      <c r="C14" s="13">
        <v>1754</v>
      </c>
    </row>
    <row r="17" spans="2:5" x14ac:dyDescent="0.25">
      <c r="B17" s="14" t="s">
        <v>321</v>
      </c>
    </row>
    <row r="19" spans="2:5" x14ac:dyDescent="0.25">
      <c r="B19" s="12" t="s">
        <v>16</v>
      </c>
      <c r="C19" t="s">
        <v>24</v>
      </c>
    </row>
    <row r="21" spans="2:5" x14ac:dyDescent="0.25">
      <c r="B21" s="12" t="s">
        <v>309</v>
      </c>
      <c r="C21" t="s">
        <v>316</v>
      </c>
    </row>
    <row r="22" spans="2:5" x14ac:dyDescent="0.25">
      <c r="B22" s="14" t="s">
        <v>22</v>
      </c>
      <c r="C22" s="20">
        <v>0</v>
      </c>
    </row>
    <row r="23" spans="2:5" x14ac:dyDescent="0.25">
      <c r="B23" s="14" t="s">
        <v>26</v>
      </c>
      <c r="C23" s="20">
        <v>0</v>
      </c>
    </row>
    <row r="24" spans="2:5" x14ac:dyDescent="0.25">
      <c r="B24" s="14" t="s">
        <v>18</v>
      </c>
      <c r="C24" s="20">
        <v>600</v>
      </c>
    </row>
    <row r="25" spans="2:5" x14ac:dyDescent="0.25">
      <c r="B25" s="14" t="s">
        <v>310</v>
      </c>
      <c r="C25" s="20">
        <v>600</v>
      </c>
      <c r="E25" s="16">
        <f>GETPIVOTDATA("EA Play Season Pass
Price",$B$21)</f>
        <v>600</v>
      </c>
    </row>
    <row r="28" spans="2:5" x14ac:dyDescent="0.25">
      <c r="B28" s="14" t="s">
        <v>322</v>
      </c>
    </row>
    <row r="30" spans="2:5" x14ac:dyDescent="0.25">
      <c r="B30" s="12" t="s">
        <v>16</v>
      </c>
      <c r="C30" t="s">
        <v>24</v>
      </c>
    </row>
    <row r="32" spans="2:5" x14ac:dyDescent="0.25">
      <c r="B32" s="12" t="s">
        <v>309</v>
      </c>
      <c r="C32" t="s">
        <v>311</v>
      </c>
    </row>
    <row r="33" spans="2:5" x14ac:dyDescent="0.25">
      <c r="B33" s="14" t="s">
        <v>22</v>
      </c>
      <c r="C33" s="13">
        <v>0</v>
      </c>
    </row>
    <row r="34" spans="2:5" x14ac:dyDescent="0.25">
      <c r="B34" s="14" t="s">
        <v>26</v>
      </c>
      <c r="C34" s="13">
        <v>540</v>
      </c>
    </row>
    <row r="35" spans="2:5" x14ac:dyDescent="0.25">
      <c r="B35" s="14" t="s">
        <v>18</v>
      </c>
      <c r="C35" s="13">
        <v>400</v>
      </c>
    </row>
    <row r="36" spans="2:5" x14ac:dyDescent="0.25">
      <c r="B36" s="14" t="s">
        <v>310</v>
      </c>
      <c r="C36" s="13">
        <v>940</v>
      </c>
      <c r="E36" s="16">
        <f>GETPIVOTDATA("Minecraft Season Pass Price",$B$32)</f>
        <v>940</v>
      </c>
    </row>
    <row r="39" spans="2:5" x14ac:dyDescent="0.25">
      <c r="B39" s="14" t="s">
        <v>324</v>
      </c>
    </row>
    <row r="40" spans="2:5" x14ac:dyDescent="0.25">
      <c r="B40" s="14"/>
    </row>
    <row r="41" spans="2:5" x14ac:dyDescent="0.25">
      <c r="B41" s="12" t="s">
        <v>16</v>
      </c>
      <c r="C41" t="s">
        <v>24</v>
      </c>
    </row>
    <row r="43" spans="2:5" x14ac:dyDescent="0.25">
      <c r="B43" s="12" t="s">
        <v>309</v>
      </c>
      <c r="C43" t="s">
        <v>319</v>
      </c>
    </row>
    <row r="44" spans="2:5" x14ac:dyDescent="0.25">
      <c r="B44" s="14" t="s">
        <v>22</v>
      </c>
      <c r="C44" s="13">
        <v>120</v>
      </c>
    </row>
    <row r="45" spans="2:5" x14ac:dyDescent="0.25">
      <c r="B45" s="14" t="s">
        <v>26</v>
      </c>
      <c r="C45" s="13">
        <v>448</v>
      </c>
    </row>
    <row r="46" spans="2:5" x14ac:dyDescent="0.25">
      <c r="B46" s="14" t="s">
        <v>18</v>
      </c>
      <c r="C46" s="13">
        <v>1186</v>
      </c>
    </row>
    <row r="47" spans="2:5" x14ac:dyDescent="0.25">
      <c r="B47" s="14" t="s">
        <v>310</v>
      </c>
      <c r="C47" s="13">
        <v>1754</v>
      </c>
    </row>
    <row r="50" spans="2:2" x14ac:dyDescent="0.25">
      <c r="B50" s="14"/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="70" zoomScaleNormal="70" workbookViewId="0">
      <selection activeCell="AC48" sqref="AC48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27.42578125" style="4" customWidth="1"/>
    <col min="2" max="2" width="3.5703125" customWidth="1"/>
    <col min="12" max="12" width="6.5703125" customWidth="1"/>
  </cols>
  <sheetData>
    <row r="2" spans="1:19" ht="27.75" customHeight="1" thickBot="1" x14ac:dyDescent="0.5">
      <c r="C2" s="18" t="s">
        <v>323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7"/>
      <c r="S2" s="17"/>
    </row>
    <row r="3" spans="1:19" ht="19.5" customHeight="1" thickTop="1" x14ac:dyDescent="0.25"/>
    <row r="4" spans="1:19" s="7" customFormat="1" ht="8.25" customHeight="1" x14ac:dyDescent="0.25">
      <c r="A4" s="4"/>
    </row>
    <row r="5" spans="1:19" s="7" customFormat="1" ht="7.5" customHeight="1" x14ac:dyDescent="0.25">
      <c r="A5" s="4"/>
    </row>
    <row r="6" spans="1:19" s="7" customFormat="1" ht="10.5" customHeight="1" x14ac:dyDescent="0.25">
      <c r="A6" s="4"/>
    </row>
    <row r="7" spans="1:19" s="7" customFormat="1" ht="9.75" customHeight="1" x14ac:dyDescent="0.25">
      <c r="A7" s="4"/>
    </row>
    <row r="8" spans="1:19" s="7" customFormat="1" ht="11.25" customHeight="1" x14ac:dyDescent="0.25">
      <c r="A8" s="4"/>
    </row>
    <row r="9" spans="1:19" s="7" customFormat="1" x14ac:dyDescent="0.25">
      <c r="A9" s="4"/>
    </row>
    <row r="10" spans="1:19" s="7" customFormat="1" x14ac:dyDescent="0.25">
      <c r="A10" s="4"/>
    </row>
    <row r="11" spans="1:19" s="7" customFormat="1" ht="14.25" customHeight="1" x14ac:dyDescent="0.25">
      <c r="A11" s="4"/>
    </row>
    <row r="12" spans="1:19" s="7" customFormat="1" x14ac:dyDescent="0.25">
      <c r="A12" s="4"/>
    </row>
    <row r="13" spans="1:19" s="7" customFormat="1" x14ac:dyDescent="0.25">
      <c r="A13" s="4"/>
    </row>
    <row r="14" spans="1:19" s="7" customFormat="1" x14ac:dyDescent="0.25">
      <c r="A14" s="4"/>
    </row>
    <row r="15" spans="1:19" s="7" customFormat="1" x14ac:dyDescent="0.25">
      <c r="A15" s="4"/>
    </row>
    <row r="16" spans="1:19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Kauã Castro</cp:lastModifiedBy>
  <dcterms:created xsi:type="dcterms:W3CDTF">2024-12-19T13:13:10Z</dcterms:created>
  <dcterms:modified xsi:type="dcterms:W3CDTF">2026-10-17T00:31:25Z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